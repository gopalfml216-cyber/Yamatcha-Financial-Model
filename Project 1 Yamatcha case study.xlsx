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pal\OneDrive\Desktop\FINANCIAL MODELLING\"/>
    </mc:Choice>
  </mc:AlternateContent>
  <xr:revisionPtr revIDLastSave="0" documentId="13_ncr:1_{42EE3746-3866-4DAA-8D60-7516BDA466B1}" xr6:coauthVersionLast="47" xr6:coauthVersionMax="47" xr10:uidLastSave="{00000000-0000-0000-0000-000000000000}"/>
  <bookViews>
    <workbookView xWindow="-108" yWindow="-108" windowWidth="23256" windowHeight="12456" tabRatio="900" activeTab="1" xr2:uid="{61FB16ED-96EF-4BFF-B4AF-3CF5672ABADE}"/>
  </bookViews>
  <sheets>
    <sheet name="ASSUMPTION" sheetId="1" r:id="rId1"/>
    <sheet name="CONVERTER" sheetId="8" r:id="rId2"/>
    <sheet name="MONTHLY REVENUE" sheetId="7" r:id="rId3"/>
    <sheet name="MONTHLY P&amp;L" sheetId="6" r:id="rId4"/>
    <sheet name="CAPITAL STRUCTURE" sheetId="5" r:id="rId5"/>
    <sheet name="FIXED ASSET SCHEDULE" sheetId="4" r:id="rId6"/>
    <sheet name="WORKING CAPITAL" sheetId="3" r:id="rId7"/>
    <sheet name="ANNUAL P&amp;L" sheetId="2" r:id="rId8"/>
    <sheet name="BALANCE SHEET" sheetId="9" r:id="rId9"/>
    <sheet name="CASHFLOW STATEMENT" sheetId="10" r:id="rId10"/>
  </sheets>
  <definedNames>
    <definedName name="DEN">CONVERTER!$D$1</definedName>
    <definedName name="_xlnm.Print_Area" localSheetId="1">CONVERTER!$A$1:$D$14</definedName>
  </definedNames>
  <calcPr calcId="191029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9" l="1"/>
  <c r="A37" i="9"/>
  <c r="A35" i="9"/>
  <c r="A29" i="9"/>
  <c r="A28" i="9"/>
  <c r="A27" i="9"/>
  <c r="A26" i="9"/>
  <c r="A15" i="9"/>
  <c r="A16" i="9"/>
  <c r="A17" i="9"/>
  <c r="A18" i="9"/>
  <c r="A14" i="9"/>
  <c r="H22" i="10"/>
  <c r="G22" i="10"/>
  <c r="H18" i="10"/>
  <c r="G18" i="10"/>
  <c r="E6" i="2"/>
  <c r="H32" i="2"/>
  <c r="G32" i="2"/>
  <c r="H20" i="2"/>
  <c r="G20" i="2"/>
  <c r="H19" i="2"/>
  <c r="G19" i="2"/>
  <c r="H13" i="2"/>
  <c r="G13" i="2"/>
  <c r="H12" i="2"/>
  <c r="G12" i="2"/>
  <c r="A10" i="3"/>
  <c r="A11" i="3"/>
  <c r="A9" i="3"/>
  <c r="A32" i="4"/>
  <c r="A24" i="4"/>
  <c r="A16" i="4"/>
  <c r="A8" i="4"/>
  <c r="B24" i="5"/>
  <c r="B23" i="5"/>
  <c r="A13" i="5"/>
  <c r="A12" i="5"/>
  <c r="A11" i="5"/>
  <c r="A10" i="5"/>
  <c r="F30" i="6"/>
  <c r="G30" i="6" s="1"/>
  <c r="H30" i="6" s="1"/>
  <c r="F29" i="6"/>
  <c r="G29" i="6" s="1"/>
  <c r="H29" i="6" s="1"/>
  <c r="F28" i="6"/>
  <c r="G27" i="6"/>
  <c r="H27" i="6" s="1"/>
  <c r="F27" i="6"/>
  <c r="F26" i="6"/>
  <c r="G26" i="6" s="1"/>
  <c r="H26" i="6" s="1"/>
  <c r="F23" i="6"/>
  <c r="G23" i="6" s="1"/>
  <c r="H23" i="6" s="1"/>
  <c r="A32" i="6"/>
  <c r="A25" i="6"/>
  <c r="A26" i="6"/>
  <c r="A27" i="6"/>
  <c r="A28" i="6"/>
  <c r="A29" i="6"/>
  <c r="A30" i="6"/>
  <c r="A31" i="6"/>
  <c r="A24" i="6"/>
  <c r="F19" i="6"/>
  <c r="G19" i="6" s="1"/>
  <c r="H19" i="6" s="1"/>
  <c r="A17" i="6"/>
  <c r="A18" i="6"/>
  <c r="A16" i="6"/>
  <c r="F47" i="7"/>
  <c r="F46" i="7"/>
  <c r="F45" i="7"/>
  <c r="F41" i="7"/>
  <c r="F40" i="7"/>
  <c r="F39" i="7"/>
  <c r="F42" i="7" s="1"/>
  <c r="F34" i="7"/>
  <c r="F33" i="7"/>
  <c r="F32" i="7"/>
  <c r="F35" i="7" s="1"/>
  <c r="F28" i="7"/>
  <c r="F27" i="7"/>
  <c r="F26" i="7"/>
  <c r="F29" i="7" s="1"/>
  <c r="F6" i="3"/>
  <c r="G6" i="3" s="1"/>
  <c r="H6" i="3" s="1"/>
  <c r="F6" i="2"/>
  <c r="G6" i="2" s="1"/>
  <c r="H6" i="2" s="1"/>
  <c r="F6" i="9"/>
  <c r="G6" i="9" s="1"/>
  <c r="H6" i="9" s="1"/>
  <c r="F6" i="10"/>
  <c r="G6" i="10" s="1"/>
  <c r="H6" i="10" s="1"/>
  <c r="F6" i="4"/>
  <c r="G6" i="4" s="1"/>
  <c r="H6" i="4" s="1"/>
  <c r="H5" i="3"/>
  <c r="H5" i="2"/>
  <c r="H5" i="9"/>
  <c r="H5" i="10"/>
  <c r="H5" i="4"/>
  <c r="G5" i="3"/>
  <c r="G5" i="2"/>
  <c r="G5" i="9"/>
  <c r="G5" i="10"/>
  <c r="G5" i="4"/>
  <c r="B1" i="3"/>
  <c r="B1" i="2"/>
  <c r="B1" i="9"/>
  <c r="B1" i="10"/>
  <c r="B1" i="4"/>
  <c r="B1" i="5"/>
  <c r="F8" i="6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G7" i="7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M7" i="7" s="1"/>
  <c r="AN7" i="7" s="1"/>
  <c r="AO7" i="7" s="1"/>
  <c r="F8" i="7"/>
  <c r="B1" i="6"/>
  <c r="B1" i="7"/>
  <c r="D1" i="8"/>
  <c r="G101" i="1"/>
  <c r="G87" i="1"/>
  <c r="G67" i="1"/>
  <c r="J66" i="1"/>
  <c r="G50" i="1"/>
  <c r="G40" i="1"/>
  <c r="G10" i="1"/>
  <c r="F10" i="1"/>
  <c r="C10" i="1"/>
  <c r="B10" i="1"/>
  <c r="G5" i="1"/>
  <c r="X72" i="7" l="1"/>
  <c r="I29" i="6"/>
  <c r="C17" i="5"/>
  <c r="C16" i="5"/>
  <c r="C13" i="5"/>
  <c r="F34" i="4" s="1"/>
  <c r="C12" i="5"/>
  <c r="F26" i="4" s="1"/>
  <c r="I27" i="6"/>
  <c r="J27" i="6" s="1"/>
  <c r="C11" i="5"/>
  <c r="F18" i="4" s="1"/>
  <c r="C10" i="5"/>
  <c r="F10" i="4" s="1"/>
  <c r="F12" i="4" s="1"/>
  <c r="I23" i="6"/>
  <c r="J23" i="6" s="1"/>
  <c r="K23" i="6" s="1"/>
  <c r="L23" i="6" s="1"/>
  <c r="M23" i="6" s="1"/>
  <c r="N23" i="6" s="1"/>
  <c r="O23" i="6" s="1"/>
  <c r="P23" i="6" s="1"/>
  <c r="Q23" i="6" s="1"/>
  <c r="R23" i="6" s="1"/>
  <c r="I30" i="6"/>
  <c r="J30" i="6" s="1"/>
  <c r="K30" i="6" s="1"/>
  <c r="L30" i="6" s="1"/>
  <c r="M30" i="6" s="1"/>
  <c r="N30" i="6" s="1"/>
  <c r="O30" i="6" s="1"/>
  <c r="P30" i="6" s="1"/>
  <c r="Q30" i="6" s="1"/>
  <c r="R30" i="6" s="1"/>
  <c r="J29" i="6"/>
  <c r="K29" i="6" s="1"/>
  <c r="L29" i="6" s="1"/>
  <c r="M29" i="6" s="1"/>
  <c r="N29" i="6" s="1"/>
  <c r="O29" i="6" s="1"/>
  <c r="P29" i="6" s="1"/>
  <c r="Q29" i="6" s="1"/>
  <c r="R29" i="6" s="1"/>
  <c r="I26" i="6"/>
  <c r="J26" i="6" s="1"/>
  <c r="K26" i="6" s="1"/>
  <c r="L26" i="6" s="1"/>
  <c r="M26" i="6" s="1"/>
  <c r="N26" i="6" s="1"/>
  <c r="O26" i="6" s="1"/>
  <c r="P26" i="6" s="1"/>
  <c r="Q26" i="6" s="1"/>
  <c r="R26" i="6" s="1"/>
  <c r="F19" i="2"/>
  <c r="F12" i="2"/>
  <c r="F20" i="2"/>
  <c r="F24" i="2"/>
  <c r="F32" i="2"/>
  <c r="F13" i="2"/>
  <c r="F17" i="2"/>
  <c r="G28" i="6"/>
  <c r="P68" i="7"/>
  <c r="F66" i="7"/>
  <c r="J66" i="7"/>
  <c r="AJ60" i="7"/>
  <c r="AJ73" i="7"/>
  <c r="AK60" i="7"/>
  <c r="Y66" i="7"/>
  <c r="AK73" i="7"/>
  <c r="AN59" i="7"/>
  <c r="O68" i="7"/>
  <c r="AN72" i="7"/>
  <c r="V60" i="7"/>
  <c r="AD68" i="7"/>
  <c r="W60" i="7"/>
  <c r="AH68" i="7"/>
  <c r="X66" i="7"/>
  <c r="J59" i="7"/>
  <c r="AM66" i="7"/>
  <c r="O74" i="7"/>
  <c r="K59" i="7"/>
  <c r="P61" i="7"/>
  <c r="AN66" i="7"/>
  <c r="AN69" i="7" s="1"/>
  <c r="P74" i="7"/>
  <c r="L59" i="7"/>
  <c r="AD61" i="7"/>
  <c r="R67" i="7"/>
  <c r="F72" i="7"/>
  <c r="AD74" i="7"/>
  <c r="AH74" i="7"/>
  <c r="AM72" i="7"/>
  <c r="R60" i="7"/>
  <c r="R73" i="7"/>
  <c r="V73" i="7"/>
  <c r="O61" i="7"/>
  <c r="X59" i="7"/>
  <c r="AH61" i="7"/>
  <c r="V67" i="7"/>
  <c r="J72" i="7"/>
  <c r="AJ67" i="7"/>
  <c r="AO55" i="7"/>
  <c r="I19" i="6"/>
  <c r="J19" i="6" s="1"/>
  <c r="K19" i="6" s="1"/>
  <c r="L19" i="6" s="1"/>
  <c r="M19" i="6" s="1"/>
  <c r="N19" i="6" s="1"/>
  <c r="O19" i="6" s="1"/>
  <c r="P19" i="6" s="1"/>
  <c r="Q19" i="6" s="1"/>
  <c r="R19" i="6" s="1"/>
  <c r="AG74" i="7"/>
  <c r="U74" i="7"/>
  <c r="I74" i="7"/>
  <c r="AG73" i="7"/>
  <c r="U73" i="7"/>
  <c r="I73" i="7"/>
  <c r="AG72" i="7"/>
  <c r="U72" i="7"/>
  <c r="I72" i="7"/>
  <c r="AG68" i="7"/>
  <c r="U68" i="7"/>
  <c r="I68" i="7"/>
  <c r="AG67" i="7"/>
  <c r="U67" i="7"/>
  <c r="I67" i="7"/>
  <c r="AG66" i="7"/>
  <c r="U66" i="7"/>
  <c r="I66" i="7"/>
  <c r="AG61" i="7"/>
  <c r="U61" i="7"/>
  <c r="I61" i="7"/>
  <c r="AG60" i="7"/>
  <c r="U60" i="7"/>
  <c r="I60" i="7"/>
  <c r="AG59" i="7"/>
  <c r="U59" i="7"/>
  <c r="I59" i="7"/>
  <c r="AF59" i="7"/>
  <c r="AE74" i="7"/>
  <c r="S72" i="7"/>
  <c r="AE68" i="7"/>
  <c r="G67" i="7"/>
  <c r="S61" i="7"/>
  <c r="S60" i="7"/>
  <c r="AE59" i="7"/>
  <c r="AF74" i="7"/>
  <c r="T74" i="7"/>
  <c r="H74" i="7"/>
  <c r="AF73" i="7"/>
  <c r="T73" i="7"/>
  <c r="H73" i="7"/>
  <c r="AF72" i="7"/>
  <c r="T72" i="7"/>
  <c r="H72" i="7"/>
  <c r="AF68" i="7"/>
  <c r="T68" i="7"/>
  <c r="H68" i="7"/>
  <c r="AF67" i="7"/>
  <c r="T67" i="7"/>
  <c r="H67" i="7"/>
  <c r="AF66" i="7"/>
  <c r="T66" i="7"/>
  <c r="H66" i="7"/>
  <c r="AF61" i="7"/>
  <c r="T61" i="7"/>
  <c r="H61" i="7"/>
  <c r="AF60" i="7"/>
  <c r="T60" i="7"/>
  <c r="H60" i="7"/>
  <c r="T59" i="7"/>
  <c r="H59" i="7"/>
  <c r="S74" i="7"/>
  <c r="G74" i="7"/>
  <c r="AE73" i="7"/>
  <c r="S73" i="7"/>
  <c r="G73" i="7"/>
  <c r="AE72" i="7"/>
  <c r="G72" i="7"/>
  <c r="S68" i="7"/>
  <c r="G68" i="7"/>
  <c r="AE67" i="7"/>
  <c r="S67" i="7"/>
  <c r="AE66" i="7"/>
  <c r="S66" i="7"/>
  <c r="G66" i="7"/>
  <c r="AE61" i="7"/>
  <c r="G61" i="7"/>
  <c r="AE60" i="7"/>
  <c r="G60" i="7"/>
  <c r="AC74" i="7"/>
  <c r="N74" i="7"/>
  <c r="AI73" i="7"/>
  <c r="Q73" i="7"/>
  <c r="AL72" i="7"/>
  <c r="W72" i="7"/>
  <c r="AC68" i="7"/>
  <c r="N68" i="7"/>
  <c r="AI67" i="7"/>
  <c r="Q67" i="7"/>
  <c r="AL66" i="7"/>
  <c r="W66" i="7"/>
  <c r="AC61" i="7"/>
  <c r="N61" i="7"/>
  <c r="AI60" i="7"/>
  <c r="Q60" i="7"/>
  <c r="AL59" i="7"/>
  <c r="W59" i="7"/>
  <c r="G59" i="7"/>
  <c r="AK59" i="7"/>
  <c r="F59" i="7"/>
  <c r="Z74" i="7"/>
  <c r="AC73" i="7"/>
  <c r="Q72" i="7"/>
  <c r="Z68" i="7"/>
  <c r="N67" i="7"/>
  <c r="Z61" i="7"/>
  <c r="N60" i="7"/>
  <c r="AB67" i="7"/>
  <c r="AB60" i="7"/>
  <c r="Q59" i="7"/>
  <c r="F74" i="7"/>
  <c r="AD72" i="7"/>
  <c r="X68" i="7"/>
  <c r="L67" i="7"/>
  <c r="O66" i="7"/>
  <c r="AM61" i="7"/>
  <c r="F61" i="7"/>
  <c r="L60" i="7"/>
  <c r="P59" i="7"/>
  <c r="X60" i="7"/>
  <c r="AB74" i="7"/>
  <c r="M74" i="7"/>
  <c r="AH73" i="7"/>
  <c r="P73" i="7"/>
  <c r="AK72" i="7"/>
  <c r="V72" i="7"/>
  <c r="AB68" i="7"/>
  <c r="M68" i="7"/>
  <c r="AH67" i="7"/>
  <c r="P67" i="7"/>
  <c r="AK66" i="7"/>
  <c r="V66" i="7"/>
  <c r="AB61" i="7"/>
  <c r="M61" i="7"/>
  <c r="AH60" i="7"/>
  <c r="P60" i="7"/>
  <c r="V59" i="7"/>
  <c r="AO74" i="7"/>
  <c r="N73" i="7"/>
  <c r="AC67" i="7"/>
  <c r="Q66" i="7"/>
  <c r="AO61" i="7"/>
  <c r="AI59" i="7"/>
  <c r="Y74" i="7"/>
  <c r="AB73" i="7"/>
  <c r="AH72" i="7"/>
  <c r="Y68" i="7"/>
  <c r="M67" i="7"/>
  <c r="P66" i="7"/>
  <c r="Y61" i="7"/>
  <c r="M60" i="7"/>
  <c r="AM74" i="7"/>
  <c r="L73" i="7"/>
  <c r="AA67" i="7"/>
  <c r="AA60" i="7"/>
  <c r="AJ61" i="7"/>
  <c r="M59" i="7"/>
  <c r="Q74" i="7"/>
  <c r="W73" i="7"/>
  <c r="AL67" i="7"/>
  <c r="K66" i="7"/>
  <c r="Q61" i="7"/>
  <c r="Z59" i="7"/>
  <c r="AA74" i="7"/>
  <c r="L74" i="7"/>
  <c r="AD73" i="7"/>
  <c r="O73" i="7"/>
  <c r="AJ72" i="7"/>
  <c r="R72" i="7"/>
  <c r="AA68" i="7"/>
  <c r="L68" i="7"/>
  <c r="AD67" i="7"/>
  <c r="O67" i="7"/>
  <c r="AJ66" i="7"/>
  <c r="R66" i="7"/>
  <c r="AA61" i="7"/>
  <c r="L61" i="7"/>
  <c r="AD60" i="7"/>
  <c r="O60" i="7"/>
  <c r="AJ59" i="7"/>
  <c r="S59" i="7"/>
  <c r="K74" i="7"/>
  <c r="AI72" i="7"/>
  <c r="AO68" i="7"/>
  <c r="K68" i="7"/>
  <c r="AI66" i="7"/>
  <c r="K61" i="7"/>
  <c r="AC60" i="7"/>
  <c r="R59" i="7"/>
  <c r="AN74" i="7"/>
  <c r="J74" i="7"/>
  <c r="M73" i="7"/>
  <c r="P72" i="7"/>
  <c r="AN68" i="7"/>
  <c r="J68" i="7"/>
  <c r="AH66" i="7"/>
  <c r="AN61" i="7"/>
  <c r="J61" i="7"/>
  <c r="AH59" i="7"/>
  <c r="X74" i="7"/>
  <c r="AA73" i="7"/>
  <c r="O72" i="7"/>
  <c r="AM68" i="7"/>
  <c r="F68" i="7"/>
  <c r="AD66" i="7"/>
  <c r="X61" i="7"/>
  <c r="AD59" i="7"/>
  <c r="AM60" i="7"/>
  <c r="AA59" i="7"/>
  <c r="AI74" i="7"/>
  <c r="Z72" i="7"/>
  <c r="W67" i="7"/>
  <c r="AL60" i="7"/>
  <c r="AO59" i="7"/>
  <c r="AL74" i="7"/>
  <c r="W74" i="7"/>
  <c r="AO73" i="7"/>
  <c r="Z73" i="7"/>
  <c r="K73" i="7"/>
  <c r="AC72" i="7"/>
  <c r="N72" i="7"/>
  <c r="AL68" i="7"/>
  <c r="W68" i="7"/>
  <c r="AO67" i="7"/>
  <c r="Z67" i="7"/>
  <c r="K67" i="7"/>
  <c r="AC66" i="7"/>
  <c r="N66" i="7"/>
  <c r="AL61" i="7"/>
  <c r="W61" i="7"/>
  <c r="AO60" i="7"/>
  <c r="Z60" i="7"/>
  <c r="K60" i="7"/>
  <c r="AC59" i="7"/>
  <c r="O59" i="7"/>
  <c r="AK74" i="7"/>
  <c r="V74" i="7"/>
  <c r="AN73" i="7"/>
  <c r="Y73" i="7"/>
  <c r="AB72" i="7"/>
  <c r="M72" i="7"/>
  <c r="AK68" i="7"/>
  <c r="AN67" i="7"/>
  <c r="Y67" i="7"/>
  <c r="J67" i="7"/>
  <c r="M66" i="7"/>
  <c r="AK61" i="7"/>
  <c r="V61" i="7"/>
  <c r="Y60" i="7"/>
  <c r="J60" i="7"/>
  <c r="N59" i="7"/>
  <c r="N62" i="7" s="1"/>
  <c r="R74" i="7"/>
  <c r="AM73" i="7"/>
  <c r="F60" i="7"/>
  <c r="AL73" i="7"/>
  <c r="K72" i="7"/>
  <c r="K75" i="7" s="1"/>
  <c r="Q68" i="7"/>
  <c r="AO66" i="7"/>
  <c r="J73" i="7"/>
  <c r="V68" i="7"/>
  <c r="AB66" i="7"/>
  <c r="AN60" i="7"/>
  <c r="AB59" i="7"/>
  <c r="AJ74" i="7"/>
  <c r="X73" i="7"/>
  <c r="F73" i="7"/>
  <c r="AA72" i="7"/>
  <c r="L72" i="7"/>
  <c r="AJ68" i="7"/>
  <c r="R68" i="7"/>
  <c r="AM67" i="7"/>
  <c r="X67" i="7"/>
  <c r="F67" i="7"/>
  <c r="AA66" i="7"/>
  <c r="L66" i="7"/>
  <c r="R61" i="7"/>
  <c r="AO72" i="7"/>
  <c r="AI68" i="7"/>
  <c r="Z66" i="7"/>
  <c r="AI61" i="7"/>
  <c r="Y59" i="7"/>
  <c r="AM59" i="7"/>
  <c r="AK67" i="7"/>
  <c r="Y72" i="7"/>
  <c r="F53" i="7"/>
  <c r="R54" i="7"/>
  <c r="R55" i="7"/>
  <c r="S53" i="7"/>
  <c r="AE54" i="7"/>
  <c r="AE55" i="7"/>
  <c r="H54" i="7"/>
  <c r="AF55" i="7"/>
  <c r="AG53" i="7"/>
  <c r="AG55" i="7"/>
  <c r="V53" i="7"/>
  <c r="AH54" i="7"/>
  <c r="W54" i="7"/>
  <c r="AJ53" i="7"/>
  <c r="AJ54" i="7"/>
  <c r="AJ55" i="7"/>
  <c r="M53" i="7"/>
  <c r="Y53" i="7"/>
  <c r="AK53" i="7"/>
  <c r="M54" i="7"/>
  <c r="Y54" i="7"/>
  <c r="AK54" i="7"/>
  <c r="M55" i="7"/>
  <c r="Y55" i="7"/>
  <c r="AK55" i="7"/>
  <c r="F54" i="7"/>
  <c r="AD54" i="7"/>
  <c r="G54" i="7"/>
  <c r="H53" i="7"/>
  <c r="U53" i="7"/>
  <c r="AG54" i="7"/>
  <c r="U55" i="7"/>
  <c r="J54" i="7"/>
  <c r="AH55" i="7"/>
  <c r="W53" i="7"/>
  <c r="K55" i="7"/>
  <c r="L53" i="7"/>
  <c r="N53" i="7"/>
  <c r="Z53" i="7"/>
  <c r="AL53" i="7"/>
  <c r="N54" i="7"/>
  <c r="Z54" i="7"/>
  <c r="AL54" i="7"/>
  <c r="N55" i="7"/>
  <c r="Z55" i="7"/>
  <c r="AL55" i="7"/>
  <c r="O53" i="7"/>
  <c r="AA53" i="7"/>
  <c r="AM53" i="7"/>
  <c r="O54" i="7"/>
  <c r="AA54" i="7"/>
  <c r="AA79" i="7" s="1"/>
  <c r="AA11" i="6" s="1"/>
  <c r="AA17" i="6" s="1"/>
  <c r="AM54" i="7"/>
  <c r="O55" i="7"/>
  <c r="AA55" i="7"/>
  <c r="AM55" i="7"/>
  <c r="AD53" i="7"/>
  <c r="F55" i="7"/>
  <c r="G53" i="7"/>
  <c r="S54" i="7"/>
  <c r="S55" i="7"/>
  <c r="AF53" i="7"/>
  <c r="AF54" i="7"/>
  <c r="T55" i="7"/>
  <c r="I54" i="7"/>
  <c r="AH53" i="7"/>
  <c r="J55" i="7"/>
  <c r="K53" i="7"/>
  <c r="K54" i="7"/>
  <c r="AI54" i="7"/>
  <c r="AI55" i="7"/>
  <c r="X53" i="7"/>
  <c r="X54" i="7"/>
  <c r="L55" i="7"/>
  <c r="X55" i="7"/>
  <c r="P53" i="7"/>
  <c r="AB53" i="7"/>
  <c r="AN53" i="7"/>
  <c r="P54" i="7"/>
  <c r="AB54" i="7"/>
  <c r="AN54" i="7"/>
  <c r="P55" i="7"/>
  <c r="AB55" i="7"/>
  <c r="AN55" i="7"/>
  <c r="R53" i="7"/>
  <c r="AD55" i="7"/>
  <c r="AE53" i="7"/>
  <c r="G55" i="7"/>
  <c r="T53" i="7"/>
  <c r="T54" i="7"/>
  <c r="H55" i="7"/>
  <c r="I53" i="7"/>
  <c r="U54" i="7"/>
  <c r="I55" i="7"/>
  <c r="J53" i="7"/>
  <c r="V54" i="7"/>
  <c r="V55" i="7"/>
  <c r="AI53" i="7"/>
  <c r="W55" i="7"/>
  <c r="L54" i="7"/>
  <c r="Q53" i="7"/>
  <c r="AC53" i="7"/>
  <c r="AO53" i="7"/>
  <c r="Q54" i="7"/>
  <c r="AC54" i="7"/>
  <c r="AO54" i="7"/>
  <c r="Q55" i="7"/>
  <c r="AC55" i="7"/>
  <c r="F48" i="7"/>
  <c r="G26" i="7"/>
  <c r="G27" i="7"/>
  <c r="H27" i="7" s="1"/>
  <c r="I27" i="7" s="1"/>
  <c r="J27" i="7" s="1"/>
  <c r="K27" i="7" s="1"/>
  <c r="L27" i="7" s="1"/>
  <c r="M27" i="7" s="1"/>
  <c r="N27" i="7" s="1"/>
  <c r="O27" i="7" s="1"/>
  <c r="P27" i="7" s="1"/>
  <c r="Q27" i="7" s="1"/>
  <c r="R27" i="7" s="1"/>
  <c r="S27" i="7" s="1"/>
  <c r="T27" i="7" s="1"/>
  <c r="U27" i="7" s="1"/>
  <c r="V27" i="7" s="1"/>
  <c r="W27" i="7" s="1"/>
  <c r="X27" i="7" s="1"/>
  <c r="Y27" i="7" s="1"/>
  <c r="Z27" i="7" s="1"/>
  <c r="AA27" i="7" s="1"/>
  <c r="AB27" i="7" s="1"/>
  <c r="AC27" i="7" s="1"/>
  <c r="AD27" i="7" s="1"/>
  <c r="AE27" i="7" s="1"/>
  <c r="AF27" i="7" s="1"/>
  <c r="AG27" i="7" s="1"/>
  <c r="AH27" i="7" s="1"/>
  <c r="AI27" i="7" s="1"/>
  <c r="AJ27" i="7" s="1"/>
  <c r="AK27" i="7" s="1"/>
  <c r="AL27" i="7" s="1"/>
  <c r="AM27" i="7" s="1"/>
  <c r="AN27" i="7" s="1"/>
  <c r="AO27" i="7" s="1"/>
  <c r="G41" i="7"/>
  <c r="H41" i="7" s="1"/>
  <c r="I41" i="7" s="1"/>
  <c r="J41" i="7" s="1"/>
  <c r="K41" i="7" s="1"/>
  <c r="L41" i="7" s="1"/>
  <c r="M41" i="7" s="1"/>
  <c r="N41" i="7" s="1"/>
  <c r="O41" i="7" s="1"/>
  <c r="P41" i="7" s="1"/>
  <c r="Q41" i="7" s="1"/>
  <c r="R41" i="7" s="1"/>
  <c r="S41" i="7" s="1"/>
  <c r="T41" i="7" s="1"/>
  <c r="U41" i="7" s="1"/>
  <c r="V41" i="7" s="1"/>
  <c r="W41" i="7" s="1"/>
  <c r="X41" i="7" s="1"/>
  <c r="Y41" i="7" s="1"/>
  <c r="Z41" i="7" s="1"/>
  <c r="AA41" i="7" s="1"/>
  <c r="AB41" i="7" s="1"/>
  <c r="AC41" i="7" s="1"/>
  <c r="AD41" i="7" s="1"/>
  <c r="AE41" i="7" s="1"/>
  <c r="AF41" i="7" s="1"/>
  <c r="AG41" i="7" s="1"/>
  <c r="AH41" i="7" s="1"/>
  <c r="AI41" i="7" s="1"/>
  <c r="AJ41" i="7" s="1"/>
  <c r="AK41" i="7" s="1"/>
  <c r="AL41" i="7" s="1"/>
  <c r="AM41" i="7" s="1"/>
  <c r="AN41" i="7" s="1"/>
  <c r="AO41" i="7" s="1"/>
  <c r="G45" i="7"/>
  <c r="G33" i="7"/>
  <c r="H33" i="7" s="1"/>
  <c r="I33" i="7" s="1"/>
  <c r="J33" i="7" s="1"/>
  <c r="K33" i="7" s="1"/>
  <c r="L33" i="7" s="1"/>
  <c r="M33" i="7" s="1"/>
  <c r="N33" i="7" s="1"/>
  <c r="O33" i="7" s="1"/>
  <c r="P33" i="7" s="1"/>
  <c r="Q33" i="7" s="1"/>
  <c r="R33" i="7" s="1"/>
  <c r="S33" i="7" s="1"/>
  <c r="T33" i="7" s="1"/>
  <c r="U33" i="7" s="1"/>
  <c r="V33" i="7" s="1"/>
  <c r="W33" i="7" s="1"/>
  <c r="X33" i="7" s="1"/>
  <c r="Y33" i="7" s="1"/>
  <c r="Z33" i="7" s="1"/>
  <c r="AA33" i="7" s="1"/>
  <c r="AB33" i="7" s="1"/>
  <c r="AC33" i="7" s="1"/>
  <c r="AD33" i="7" s="1"/>
  <c r="AE33" i="7" s="1"/>
  <c r="AF33" i="7" s="1"/>
  <c r="AG33" i="7" s="1"/>
  <c r="AH33" i="7" s="1"/>
  <c r="AI33" i="7" s="1"/>
  <c r="AJ33" i="7" s="1"/>
  <c r="AK33" i="7" s="1"/>
  <c r="AL33" i="7" s="1"/>
  <c r="AM33" i="7" s="1"/>
  <c r="AN33" i="7" s="1"/>
  <c r="AO33" i="7" s="1"/>
  <c r="G46" i="7"/>
  <c r="H46" i="7" s="1"/>
  <c r="I46" i="7" s="1"/>
  <c r="J46" i="7" s="1"/>
  <c r="K46" i="7" s="1"/>
  <c r="L46" i="7" s="1"/>
  <c r="M46" i="7" s="1"/>
  <c r="N46" i="7" s="1"/>
  <c r="O46" i="7" s="1"/>
  <c r="P46" i="7" s="1"/>
  <c r="Q46" i="7" s="1"/>
  <c r="R46" i="7" s="1"/>
  <c r="S46" i="7" s="1"/>
  <c r="T46" i="7" s="1"/>
  <c r="U46" i="7" s="1"/>
  <c r="V46" i="7" s="1"/>
  <c r="W46" i="7" s="1"/>
  <c r="X46" i="7" s="1"/>
  <c r="Y46" i="7" s="1"/>
  <c r="Z46" i="7" s="1"/>
  <c r="AA46" i="7" s="1"/>
  <c r="AB46" i="7" s="1"/>
  <c r="AC46" i="7" s="1"/>
  <c r="AD46" i="7" s="1"/>
  <c r="AE46" i="7" s="1"/>
  <c r="AF46" i="7" s="1"/>
  <c r="AG46" i="7" s="1"/>
  <c r="AH46" i="7" s="1"/>
  <c r="AI46" i="7" s="1"/>
  <c r="AJ46" i="7" s="1"/>
  <c r="AK46" i="7" s="1"/>
  <c r="AL46" i="7" s="1"/>
  <c r="AM46" i="7" s="1"/>
  <c r="AN46" i="7" s="1"/>
  <c r="AO46" i="7" s="1"/>
  <c r="G39" i="7"/>
  <c r="G40" i="7"/>
  <c r="H40" i="7" s="1"/>
  <c r="I40" i="7" s="1"/>
  <c r="J40" i="7" s="1"/>
  <c r="K40" i="7" s="1"/>
  <c r="L40" i="7" s="1"/>
  <c r="M40" i="7" s="1"/>
  <c r="N40" i="7" s="1"/>
  <c r="O40" i="7" s="1"/>
  <c r="P40" i="7" s="1"/>
  <c r="Q40" i="7" s="1"/>
  <c r="R40" i="7" s="1"/>
  <c r="S40" i="7" s="1"/>
  <c r="T40" i="7" s="1"/>
  <c r="U40" i="7" s="1"/>
  <c r="V40" i="7" s="1"/>
  <c r="W40" i="7" s="1"/>
  <c r="X40" i="7" s="1"/>
  <c r="Y40" i="7" s="1"/>
  <c r="Z40" i="7" s="1"/>
  <c r="AA40" i="7" s="1"/>
  <c r="AB40" i="7" s="1"/>
  <c r="AC40" i="7" s="1"/>
  <c r="AD40" i="7" s="1"/>
  <c r="AE40" i="7" s="1"/>
  <c r="AF40" i="7" s="1"/>
  <c r="AG40" i="7" s="1"/>
  <c r="AH40" i="7" s="1"/>
  <c r="AI40" i="7" s="1"/>
  <c r="AJ40" i="7" s="1"/>
  <c r="AK40" i="7" s="1"/>
  <c r="AL40" i="7" s="1"/>
  <c r="AM40" i="7" s="1"/>
  <c r="AN40" i="7" s="1"/>
  <c r="AO40" i="7" s="1"/>
  <c r="G28" i="7"/>
  <c r="H28" i="7" s="1"/>
  <c r="I28" i="7" s="1"/>
  <c r="J28" i="7" s="1"/>
  <c r="K28" i="7" s="1"/>
  <c r="L28" i="7" s="1"/>
  <c r="M28" i="7" s="1"/>
  <c r="N28" i="7" s="1"/>
  <c r="O28" i="7" s="1"/>
  <c r="P28" i="7" s="1"/>
  <c r="Q28" i="7" s="1"/>
  <c r="R28" i="7" s="1"/>
  <c r="S28" i="7" s="1"/>
  <c r="T28" i="7" s="1"/>
  <c r="U28" i="7" s="1"/>
  <c r="V28" i="7" s="1"/>
  <c r="W28" i="7" s="1"/>
  <c r="X28" i="7" s="1"/>
  <c r="Y28" i="7" s="1"/>
  <c r="Z28" i="7" s="1"/>
  <c r="AA28" i="7" s="1"/>
  <c r="AB28" i="7" s="1"/>
  <c r="AC28" i="7" s="1"/>
  <c r="AD28" i="7" s="1"/>
  <c r="AE28" i="7" s="1"/>
  <c r="AF28" i="7" s="1"/>
  <c r="AG28" i="7" s="1"/>
  <c r="AH28" i="7" s="1"/>
  <c r="AI28" i="7" s="1"/>
  <c r="AJ28" i="7" s="1"/>
  <c r="AK28" i="7" s="1"/>
  <c r="AL28" i="7" s="1"/>
  <c r="AM28" i="7" s="1"/>
  <c r="AN28" i="7" s="1"/>
  <c r="AO28" i="7" s="1"/>
  <c r="G32" i="7"/>
  <c r="G34" i="7"/>
  <c r="H34" i="7" s="1"/>
  <c r="I34" i="7" s="1"/>
  <c r="J34" i="7" s="1"/>
  <c r="K34" i="7" s="1"/>
  <c r="L34" i="7" s="1"/>
  <c r="M34" i="7" s="1"/>
  <c r="N34" i="7" s="1"/>
  <c r="O34" i="7" s="1"/>
  <c r="P34" i="7" s="1"/>
  <c r="Q34" i="7" s="1"/>
  <c r="R34" i="7" s="1"/>
  <c r="S34" i="7" s="1"/>
  <c r="T34" i="7" s="1"/>
  <c r="U34" i="7" s="1"/>
  <c r="V34" i="7" s="1"/>
  <c r="W34" i="7" s="1"/>
  <c r="X34" i="7" s="1"/>
  <c r="Y34" i="7" s="1"/>
  <c r="Z34" i="7" s="1"/>
  <c r="AA34" i="7" s="1"/>
  <c r="AB34" i="7" s="1"/>
  <c r="AC34" i="7" s="1"/>
  <c r="AD34" i="7" s="1"/>
  <c r="AE34" i="7" s="1"/>
  <c r="AF34" i="7" s="1"/>
  <c r="AG34" i="7" s="1"/>
  <c r="AH34" i="7" s="1"/>
  <c r="AI34" i="7" s="1"/>
  <c r="AJ34" i="7" s="1"/>
  <c r="AK34" i="7" s="1"/>
  <c r="AL34" i="7" s="1"/>
  <c r="AM34" i="7" s="1"/>
  <c r="AN34" i="7" s="1"/>
  <c r="AO34" i="7" s="1"/>
  <c r="G47" i="7"/>
  <c r="H47" i="7" s="1"/>
  <c r="I47" i="7" s="1"/>
  <c r="J47" i="7" s="1"/>
  <c r="K47" i="7" s="1"/>
  <c r="L47" i="7" s="1"/>
  <c r="M47" i="7" s="1"/>
  <c r="N47" i="7" s="1"/>
  <c r="O47" i="7" s="1"/>
  <c r="P47" i="7" s="1"/>
  <c r="Q47" i="7" s="1"/>
  <c r="R47" i="7" s="1"/>
  <c r="S47" i="7" s="1"/>
  <c r="T47" i="7" s="1"/>
  <c r="U47" i="7" s="1"/>
  <c r="V47" i="7" s="1"/>
  <c r="W47" i="7" s="1"/>
  <c r="X47" i="7" s="1"/>
  <c r="Y47" i="7" s="1"/>
  <c r="Z47" i="7" s="1"/>
  <c r="AA47" i="7" s="1"/>
  <c r="AB47" i="7" s="1"/>
  <c r="AC47" i="7" s="1"/>
  <c r="AD47" i="7" s="1"/>
  <c r="AE47" i="7" s="1"/>
  <c r="AF47" i="7" s="1"/>
  <c r="AG47" i="7" s="1"/>
  <c r="AH47" i="7" s="1"/>
  <c r="AI47" i="7" s="1"/>
  <c r="AJ47" i="7" s="1"/>
  <c r="AK47" i="7" s="1"/>
  <c r="AL47" i="7" s="1"/>
  <c r="AM47" i="7" s="1"/>
  <c r="AN47" i="7" s="1"/>
  <c r="AO47" i="7" s="1"/>
  <c r="F9" i="7"/>
  <c r="F15" i="7" s="1"/>
  <c r="G8" i="7"/>
  <c r="F28" i="2" l="1"/>
  <c r="F27" i="2"/>
  <c r="K27" i="6"/>
  <c r="L27" i="6" s="1"/>
  <c r="M27" i="6" s="1"/>
  <c r="N27" i="6" s="1"/>
  <c r="O27" i="6" s="1"/>
  <c r="P27" i="6" s="1"/>
  <c r="Q27" i="6" s="1"/>
  <c r="R27" i="6" s="1"/>
  <c r="F25" i="2"/>
  <c r="F20" i="4"/>
  <c r="F21" i="4" s="1"/>
  <c r="H28" i="6"/>
  <c r="I28" i="6" s="1"/>
  <c r="J28" i="6" s="1"/>
  <c r="K28" i="6" s="1"/>
  <c r="L28" i="6" s="1"/>
  <c r="M28" i="6" s="1"/>
  <c r="N28" i="6" s="1"/>
  <c r="O28" i="6" s="1"/>
  <c r="P28" i="6" s="1"/>
  <c r="Q28" i="6" s="1"/>
  <c r="R28" i="6" s="1"/>
  <c r="F26" i="2"/>
  <c r="C14" i="5"/>
  <c r="AB79" i="7"/>
  <c r="AB11" i="6" s="1"/>
  <c r="AB17" i="6" s="1"/>
  <c r="F31" i="9"/>
  <c r="G31" i="9" s="1"/>
  <c r="H31" i="9" s="1"/>
  <c r="F17" i="10"/>
  <c r="F28" i="4"/>
  <c r="F29" i="4" s="1"/>
  <c r="F36" i="4"/>
  <c r="F37" i="4" s="1"/>
  <c r="S26" i="6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G24" i="2"/>
  <c r="S23" i="6"/>
  <c r="T23" i="6" s="1"/>
  <c r="F13" i="4"/>
  <c r="S29" i="6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G27" i="2"/>
  <c r="F21" i="2"/>
  <c r="S19" i="6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G17" i="2"/>
  <c r="S30" i="6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G28" i="2"/>
  <c r="AC62" i="7"/>
  <c r="I80" i="7"/>
  <c r="I12" i="6" s="1"/>
  <c r="I18" i="6" s="1"/>
  <c r="Z80" i="7"/>
  <c r="Z12" i="6" s="1"/>
  <c r="Z18" i="6" s="1"/>
  <c r="H69" i="7"/>
  <c r="AO79" i="7"/>
  <c r="AO11" i="6" s="1"/>
  <c r="AO17" i="6" s="1"/>
  <c r="F80" i="7"/>
  <c r="F12" i="6" s="1"/>
  <c r="P69" i="7"/>
  <c r="AK75" i="7"/>
  <c r="AN79" i="7"/>
  <c r="AN11" i="6" s="1"/>
  <c r="AN17" i="6" s="1"/>
  <c r="U80" i="7"/>
  <c r="U12" i="6" s="1"/>
  <c r="U18" i="6" s="1"/>
  <c r="AH69" i="7"/>
  <c r="F62" i="7"/>
  <c r="Z69" i="7"/>
  <c r="AF69" i="7"/>
  <c r="U69" i="7"/>
  <c r="L75" i="7"/>
  <c r="AD75" i="7"/>
  <c r="AM80" i="7"/>
  <c r="AM12" i="6" s="1"/>
  <c r="AM18" i="6" s="1"/>
  <c r="AA75" i="7"/>
  <c r="I62" i="7"/>
  <c r="H80" i="7"/>
  <c r="H12" i="6" s="1"/>
  <c r="H18" i="6" s="1"/>
  <c r="X75" i="7"/>
  <c r="AI79" i="7"/>
  <c r="AI11" i="6" s="1"/>
  <c r="AI17" i="6" s="1"/>
  <c r="Y79" i="7"/>
  <c r="Y11" i="6" s="1"/>
  <c r="Y17" i="6" s="1"/>
  <c r="AA62" i="7"/>
  <c r="N80" i="7"/>
  <c r="N12" i="6" s="1"/>
  <c r="N18" i="6" s="1"/>
  <c r="T69" i="7"/>
  <c r="AG69" i="7"/>
  <c r="AD62" i="7"/>
  <c r="G69" i="7"/>
  <c r="AA80" i="7"/>
  <c r="AA12" i="6" s="1"/>
  <c r="AA18" i="6" s="1"/>
  <c r="AJ62" i="7"/>
  <c r="V69" i="7"/>
  <c r="S62" i="7"/>
  <c r="H62" i="7"/>
  <c r="AM62" i="7"/>
  <c r="AO69" i="7"/>
  <c r="M69" i="7"/>
  <c r="AI69" i="7"/>
  <c r="AJ69" i="7"/>
  <c r="V75" i="7"/>
  <c r="AF75" i="7"/>
  <c r="S75" i="7"/>
  <c r="I69" i="7"/>
  <c r="X62" i="7"/>
  <c r="AN75" i="7"/>
  <c r="P80" i="7"/>
  <c r="P12" i="6" s="1"/>
  <c r="P18" i="6" s="1"/>
  <c r="J79" i="7"/>
  <c r="J11" i="6" s="1"/>
  <c r="J17" i="6" s="1"/>
  <c r="N75" i="7"/>
  <c r="U79" i="7"/>
  <c r="U11" i="6" s="1"/>
  <c r="U17" i="6" s="1"/>
  <c r="M79" i="7"/>
  <c r="M11" i="6" s="1"/>
  <c r="M17" i="6" s="1"/>
  <c r="AL79" i="7"/>
  <c r="AL11" i="6" s="1"/>
  <c r="AL17" i="6" s="1"/>
  <c r="AG79" i="7"/>
  <c r="AG11" i="6" s="1"/>
  <c r="AG17" i="6" s="1"/>
  <c r="AK62" i="7"/>
  <c r="N79" i="7"/>
  <c r="N11" i="6" s="1"/>
  <c r="N17" i="6" s="1"/>
  <c r="M75" i="7"/>
  <c r="R75" i="7"/>
  <c r="M62" i="7"/>
  <c r="W62" i="7"/>
  <c r="AE69" i="7"/>
  <c r="AG62" i="7"/>
  <c r="AM69" i="7"/>
  <c r="T62" i="7"/>
  <c r="AC69" i="7"/>
  <c r="V62" i="7"/>
  <c r="K79" i="7"/>
  <c r="K11" i="6" s="1"/>
  <c r="K17" i="6" s="1"/>
  <c r="AJ79" i="7"/>
  <c r="AJ11" i="6" s="1"/>
  <c r="AJ17" i="6" s="1"/>
  <c r="V80" i="7"/>
  <c r="V12" i="6" s="1"/>
  <c r="V18" i="6" s="1"/>
  <c r="K78" i="7"/>
  <c r="K10" i="6" s="1"/>
  <c r="K16" i="6" s="1"/>
  <c r="K56" i="7"/>
  <c r="AF62" i="7"/>
  <c r="Z79" i="7"/>
  <c r="Z11" i="6" s="1"/>
  <c r="Z17" i="6" s="1"/>
  <c r="AI75" i="7"/>
  <c r="K62" i="7"/>
  <c r="AC56" i="7"/>
  <c r="AC78" i="7"/>
  <c r="AC10" i="6" s="1"/>
  <c r="AC16" i="6" s="1"/>
  <c r="T79" i="7"/>
  <c r="T11" i="6" s="1"/>
  <c r="T17" i="6" s="1"/>
  <c r="AN56" i="7"/>
  <c r="AN78" i="7"/>
  <c r="AN10" i="6" s="1"/>
  <c r="AN16" i="6" s="1"/>
  <c r="AH78" i="7"/>
  <c r="AH10" i="6" s="1"/>
  <c r="AH16" i="6" s="1"/>
  <c r="AH56" i="7"/>
  <c r="O80" i="7"/>
  <c r="O12" i="6" s="1"/>
  <c r="O18" i="6" s="1"/>
  <c r="H56" i="7"/>
  <c r="H78" i="7"/>
  <c r="H10" i="6" s="1"/>
  <c r="H16" i="6" s="1"/>
  <c r="H20" i="6" s="1"/>
  <c r="M56" i="7"/>
  <c r="M78" i="7"/>
  <c r="M10" i="6" s="1"/>
  <c r="M16" i="6" s="1"/>
  <c r="AE79" i="7"/>
  <c r="AE11" i="6" s="1"/>
  <c r="AE17" i="6" s="1"/>
  <c r="AH75" i="7"/>
  <c r="Q62" i="7"/>
  <c r="G62" i="7"/>
  <c r="S69" i="7"/>
  <c r="U62" i="7"/>
  <c r="Y69" i="7"/>
  <c r="AC79" i="7"/>
  <c r="AC11" i="6" s="1"/>
  <c r="AC17" i="6" s="1"/>
  <c r="K69" i="7"/>
  <c r="AN62" i="7"/>
  <c r="P79" i="7"/>
  <c r="P11" i="6" s="1"/>
  <c r="P17" i="6" s="1"/>
  <c r="Y56" i="7"/>
  <c r="Y78" i="7"/>
  <c r="Y10" i="6" s="1"/>
  <c r="Y16" i="6" s="1"/>
  <c r="AB56" i="7"/>
  <c r="AB78" i="7"/>
  <c r="AB10" i="6" s="1"/>
  <c r="AB16" i="6" s="1"/>
  <c r="AL78" i="7"/>
  <c r="AL56" i="7"/>
  <c r="AO75" i="7"/>
  <c r="G80" i="7"/>
  <c r="G12" i="6" s="1"/>
  <c r="G18" i="6" s="1"/>
  <c r="N69" i="7"/>
  <c r="AL62" i="7"/>
  <c r="J62" i="7"/>
  <c r="AE78" i="7"/>
  <c r="AE10" i="6" s="1"/>
  <c r="AE16" i="6" s="1"/>
  <c r="AE56" i="7"/>
  <c r="N56" i="7"/>
  <c r="N78" i="7"/>
  <c r="N10" i="6" s="1"/>
  <c r="N16" i="6" s="1"/>
  <c r="R79" i="7"/>
  <c r="R11" i="6" s="1"/>
  <c r="AI62" i="7"/>
  <c r="X69" i="7"/>
  <c r="AD80" i="7"/>
  <c r="AD12" i="6" s="1"/>
  <c r="AF78" i="7"/>
  <c r="AF10" i="6" s="1"/>
  <c r="AF16" i="6" s="1"/>
  <c r="AF56" i="7"/>
  <c r="L56" i="7"/>
  <c r="L78" i="7"/>
  <c r="L10" i="6" s="1"/>
  <c r="L16" i="6" s="1"/>
  <c r="W79" i="7"/>
  <c r="W11" i="6" s="1"/>
  <c r="W17" i="6" s="1"/>
  <c r="F56" i="7"/>
  <c r="F78" i="7"/>
  <c r="F10" i="6" s="1"/>
  <c r="AA69" i="7"/>
  <c r="AO62" i="7"/>
  <c r="O75" i="7"/>
  <c r="F75" i="7"/>
  <c r="J69" i="7"/>
  <c r="AG78" i="7"/>
  <c r="AG10" i="6" s="1"/>
  <c r="AG16" i="6" s="1"/>
  <c r="AG56" i="7"/>
  <c r="AC75" i="7"/>
  <c r="AO56" i="7"/>
  <c r="AO78" i="7"/>
  <c r="AO10" i="6" s="1"/>
  <c r="AO16" i="6" s="1"/>
  <c r="J80" i="7"/>
  <c r="J12" i="6" s="1"/>
  <c r="J18" i="6" s="1"/>
  <c r="AE80" i="7"/>
  <c r="AE12" i="6" s="1"/>
  <c r="AE18" i="6" s="1"/>
  <c r="T78" i="7"/>
  <c r="T10" i="6" s="1"/>
  <c r="T16" i="6" s="1"/>
  <c r="T56" i="7"/>
  <c r="AM79" i="7"/>
  <c r="AM11" i="6" s="1"/>
  <c r="AM17" i="6" s="1"/>
  <c r="S78" i="7"/>
  <c r="S10" i="6" s="1"/>
  <c r="S16" i="6" s="1"/>
  <c r="S56" i="7"/>
  <c r="P75" i="7"/>
  <c r="AM75" i="7"/>
  <c r="T80" i="7"/>
  <c r="T12" i="6" s="1"/>
  <c r="T18" i="6" s="1"/>
  <c r="AD79" i="7"/>
  <c r="AD11" i="6" s="1"/>
  <c r="AB75" i="7"/>
  <c r="AJ75" i="7"/>
  <c r="AL75" i="7"/>
  <c r="W80" i="7"/>
  <c r="W12" i="6" s="1"/>
  <c r="W18" i="6" s="1"/>
  <c r="AF79" i="7"/>
  <c r="AF11" i="6" s="1"/>
  <c r="AF17" i="6" s="1"/>
  <c r="F79" i="7"/>
  <c r="F11" i="6" s="1"/>
  <c r="AB62" i="7"/>
  <c r="P62" i="7"/>
  <c r="AE62" i="7"/>
  <c r="AO80" i="7"/>
  <c r="AO12" i="6" s="1"/>
  <c r="AO18" i="6" s="1"/>
  <c r="AI78" i="7"/>
  <c r="AI10" i="6" s="1"/>
  <c r="AI16" i="6" s="1"/>
  <c r="AI56" i="7"/>
  <c r="L80" i="7"/>
  <c r="L12" i="6" s="1"/>
  <c r="L18" i="6" s="1"/>
  <c r="AM56" i="7"/>
  <c r="AM78" i="7"/>
  <c r="AM10" i="6" s="1"/>
  <c r="AM16" i="6" s="1"/>
  <c r="AK80" i="7"/>
  <c r="AK12" i="6" s="1"/>
  <c r="AK18" i="6" s="1"/>
  <c r="R78" i="7"/>
  <c r="R56" i="7"/>
  <c r="X79" i="7"/>
  <c r="X11" i="6" s="1"/>
  <c r="X17" i="6" s="1"/>
  <c r="S80" i="7"/>
  <c r="S12" i="6" s="1"/>
  <c r="S18" i="6" s="1"/>
  <c r="AA56" i="7"/>
  <c r="AA78" i="7"/>
  <c r="K80" i="7"/>
  <c r="K12" i="6" s="1"/>
  <c r="K18" i="6" s="1"/>
  <c r="Y80" i="7"/>
  <c r="Y12" i="6" s="1"/>
  <c r="Y18" i="6" s="1"/>
  <c r="AH79" i="7"/>
  <c r="AH11" i="6" s="1"/>
  <c r="AH17" i="6" s="1"/>
  <c r="AB69" i="7"/>
  <c r="R62" i="7"/>
  <c r="Q69" i="7"/>
  <c r="I75" i="7"/>
  <c r="J75" i="7"/>
  <c r="F69" i="7"/>
  <c r="Y62" i="7"/>
  <c r="Q79" i="7"/>
  <c r="Q11" i="6" s="1"/>
  <c r="Q17" i="6" s="1"/>
  <c r="AK78" i="7"/>
  <c r="AK10" i="6" s="1"/>
  <c r="AK16" i="6" s="1"/>
  <c r="AK56" i="7"/>
  <c r="U78" i="7"/>
  <c r="U10" i="6" s="1"/>
  <c r="U16" i="6" s="1"/>
  <c r="U20" i="6" s="1"/>
  <c r="U56" i="7"/>
  <c r="G79" i="7"/>
  <c r="G11" i="6" s="1"/>
  <c r="G17" i="6" s="1"/>
  <c r="X80" i="7"/>
  <c r="X12" i="6" s="1"/>
  <c r="X18" i="6" s="1"/>
  <c r="L69" i="7"/>
  <c r="AK69" i="7"/>
  <c r="AC80" i="7"/>
  <c r="AC12" i="6" s="1"/>
  <c r="AC18" i="6" s="1"/>
  <c r="V79" i="7"/>
  <c r="V11" i="6" s="1"/>
  <c r="V17" i="6" s="1"/>
  <c r="AN80" i="7"/>
  <c r="AN12" i="6" s="1"/>
  <c r="AN18" i="6" s="1"/>
  <c r="X56" i="7"/>
  <c r="X78" i="7"/>
  <c r="X10" i="6" s="1"/>
  <c r="X16" i="6" s="1"/>
  <c r="X20" i="6" s="1"/>
  <c r="S79" i="7"/>
  <c r="S11" i="6" s="1"/>
  <c r="S17" i="6" s="1"/>
  <c r="O56" i="7"/>
  <c r="O78" i="7"/>
  <c r="O10" i="6" s="1"/>
  <c r="O16" i="6" s="1"/>
  <c r="W78" i="7"/>
  <c r="W10" i="6" s="1"/>
  <c r="W16" i="6" s="1"/>
  <c r="W56" i="7"/>
  <c r="M80" i="7"/>
  <c r="M12" i="6" s="1"/>
  <c r="M18" i="6" s="1"/>
  <c r="V78" i="7"/>
  <c r="V10" i="6" s="1"/>
  <c r="V16" i="6" s="1"/>
  <c r="V56" i="7"/>
  <c r="Y75" i="7"/>
  <c r="U75" i="7"/>
  <c r="AL69" i="7"/>
  <c r="AD78" i="7"/>
  <c r="AD10" i="6" s="1"/>
  <c r="AD56" i="7"/>
  <c r="AF80" i="7"/>
  <c r="AF12" i="6" s="1"/>
  <c r="AF18" i="6" s="1"/>
  <c r="I78" i="7"/>
  <c r="I10" i="6" s="1"/>
  <c r="I16" i="6" s="1"/>
  <c r="I56" i="7"/>
  <c r="H79" i="7"/>
  <c r="H11" i="6" s="1"/>
  <c r="H17" i="6" s="1"/>
  <c r="Q78" i="7"/>
  <c r="Q10" i="6" s="1"/>
  <c r="Q16" i="6" s="1"/>
  <c r="Q56" i="7"/>
  <c r="I79" i="7"/>
  <c r="I11" i="6" s="1"/>
  <c r="I17" i="6" s="1"/>
  <c r="AJ80" i="7"/>
  <c r="AJ12" i="6" s="1"/>
  <c r="AJ18" i="6" s="1"/>
  <c r="AD69" i="7"/>
  <c r="W75" i="7"/>
  <c r="L79" i="7"/>
  <c r="L11" i="6" s="1"/>
  <c r="L17" i="6" s="1"/>
  <c r="P78" i="7"/>
  <c r="P10" i="6" s="1"/>
  <c r="P16" i="6" s="1"/>
  <c r="P56" i="7"/>
  <c r="Z56" i="7"/>
  <c r="Z78" i="7"/>
  <c r="Z10" i="6" s="1"/>
  <c r="Z16" i="6" s="1"/>
  <c r="R80" i="7"/>
  <c r="R12" i="6" s="1"/>
  <c r="O79" i="7"/>
  <c r="O11" i="6" s="1"/>
  <c r="O17" i="6" s="1"/>
  <c r="AJ78" i="7"/>
  <c r="AJ10" i="6" s="1"/>
  <c r="AJ16" i="6" s="1"/>
  <c r="AJ56" i="7"/>
  <c r="G75" i="7"/>
  <c r="H75" i="7"/>
  <c r="Q80" i="7"/>
  <c r="Q12" i="6" s="1"/>
  <c r="Q18" i="6" s="1"/>
  <c r="J56" i="7"/>
  <c r="J78" i="7"/>
  <c r="J10" i="6" s="1"/>
  <c r="J16" i="6" s="1"/>
  <c r="AB80" i="7"/>
  <c r="AB12" i="6" s="1"/>
  <c r="AB18" i="6" s="1"/>
  <c r="AI80" i="7"/>
  <c r="AI12" i="6" s="1"/>
  <c r="AI18" i="6" s="1"/>
  <c r="G78" i="7"/>
  <c r="G10" i="6" s="1"/>
  <c r="G16" i="6" s="1"/>
  <c r="G56" i="7"/>
  <c r="AL80" i="7"/>
  <c r="AL12" i="6" s="1"/>
  <c r="AL18" i="6" s="1"/>
  <c r="AH80" i="7"/>
  <c r="AH12" i="6" s="1"/>
  <c r="AH18" i="6" s="1"/>
  <c r="AK79" i="7"/>
  <c r="AK11" i="6" s="1"/>
  <c r="AK17" i="6" s="1"/>
  <c r="AG80" i="7"/>
  <c r="AG12" i="6" s="1"/>
  <c r="AG18" i="6" s="1"/>
  <c r="O62" i="7"/>
  <c r="Z75" i="7"/>
  <c r="AH62" i="7"/>
  <c r="R69" i="7"/>
  <c r="Z62" i="7"/>
  <c r="O69" i="7"/>
  <c r="Q75" i="7"/>
  <c r="W69" i="7"/>
  <c r="AE75" i="7"/>
  <c r="T75" i="7"/>
  <c r="AG75" i="7"/>
  <c r="L62" i="7"/>
  <c r="H45" i="7"/>
  <c r="G48" i="7"/>
  <c r="H26" i="7"/>
  <c r="G29" i="7"/>
  <c r="H32" i="7"/>
  <c r="G35" i="7"/>
  <c r="H39" i="7"/>
  <c r="G42" i="7"/>
  <c r="F10" i="7"/>
  <c r="F21" i="7"/>
  <c r="F20" i="7"/>
  <c r="F16" i="7"/>
  <c r="H8" i="7"/>
  <c r="G9" i="7"/>
  <c r="I20" i="6" l="1"/>
  <c r="O20" i="6"/>
  <c r="F29" i="9"/>
  <c r="G33" i="4"/>
  <c r="G36" i="4" s="1"/>
  <c r="G37" i="4" s="1"/>
  <c r="F28" i="9"/>
  <c r="G25" i="4"/>
  <c r="G28" i="4" s="1"/>
  <c r="G29" i="4" s="1"/>
  <c r="F27" i="9"/>
  <c r="G17" i="4"/>
  <c r="H17" i="3"/>
  <c r="H16" i="9" s="1"/>
  <c r="H9" i="3"/>
  <c r="F34" i="2"/>
  <c r="F9" i="10" s="1"/>
  <c r="AE26" i="6"/>
  <c r="AF26" i="6" s="1"/>
  <c r="AG26" i="6" s="1"/>
  <c r="AH26" i="6" s="1"/>
  <c r="AI26" i="6" s="1"/>
  <c r="AJ26" i="6" s="1"/>
  <c r="AK26" i="6" s="1"/>
  <c r="AL26" i="6" s="1"/>
  <c r="AM26" i="6" s="1"/>
  <c r="AN26" i="6" s="1"/>
  <c r="AO26" i="6" s="1"/>
  <c r="S20" i="6"/>
  <c r="AD17" i="6"/>
  <c r="H15" i="2" s="1"/>
  <c r="H9" i="2"/>
  <c r="L20" i="6"/>
  <c r="G9" i="4"/>
  <c r="F26" i="9"/>
  <c r="J20" i="6"/>
  <c r="P20" i="6"/>
  <c r="AE30" i="6"/>
  <c r="AF30" i="6" s="1"/>
  <c r="AG30" i="6" s="1"/>
  <c r="AH30" i="6" s="1"/>
  <c r="AI30" i="6" s="1"/>
  <c r="AJ30" i="6" s="1"/>
  <c r="AK30" i="6" s="1"/>
  <c r="AL30" i="6" s="1"/>
  <c r="AM30" i="6" s="1"/>
  <c r="AN30" i="6" s="1"/>
  <c r="AO30" i="6" s="1"/>
  <c r="H28" i="2"/>
  <c r="AD16" i="6"/>
  <c r="AA81" i="7"/>
  <c r="AA13" i="6" s="1"/>
  <c r="AA10" i="6"/>
  <c r="AA16" i="6" s="1"/>
  <c r="AA20" i="6" s="1"/>
  <c r="H19" i="3"/>
  <c r="H18" i="9" s="1"/>
  <c r="H11" i="3"/>
  <c r="H37" i="9" s="1"/>
  <c r="G10" i="3"/>
  <c r="G36" i="9" s="1"/>
  <c r="G18" i="3"/>
  <c r="G17" i="9" s="1"/>
  <c r="U23" i="6"/>
  <c r="C20" i="5"/>
  <c r="F16" i="10"/>
  <c r="F18" i="10" s="1"/>
  <c r="F11" i="3"/>
  <c r="F19" i="3"/>
  <c r="F18" i="9" s="1"/>
  <c r="F10" i="3"/>
  <c r="F36" i="9" s="1"/>
  <c r="F18" i="3"/>
  <c r="F17" i="9" s="1"/>
  <c r="K20" i="6"/>
  <c r="H10" i="2"/>
  <c r="AD18" i="6"/>
  <c r="H16" i="2" s="1"/>
  <c r="AE19" i="6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O20" i="6" s="1"/>
  <c r="S28" i="6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G26" i="2"/>
  <c r="G19" i="3"/>
  <c r="G18" i="9" s="1"/>
  <c r="G11" i="3"/>
  <c r="G37" i="9" s="1"/>
  <c r="F17" i="6"/>
  <c r="F15" i="2" s="1"/>
  <c r="F9" i="2"/>
  <c r="AL81" i="7"/>
  <c r="AL13" i="6" s="1"/>
  <c r="AL10" i="6"/>
  <c r="AL16" i="6" s="1"/>
  <c r="F18" i="6"/>
  <c r="F16" i="2" s="1"/>
  <c r="F10" i="2"/>
  <c r="V20" i="6"/>
  <c r="R81" i="7"/>
  <c r="R13" i="6" s="1"/>
  <c r="R10" i="6"/>
  <c r="R17" i="6"/>
  <c r="G15" i="2" s="1"/>
  <c r="G9" i="2"/>
  <c r="AB20" i="6"/>
  <c r="H18" i="3"/>
  <c r="H17" i="9" s="1"/>
  <c r="H10" i="3"/>
  <c r="H36" i="9" s="1"/>
  <c r="F17" i="3"/>
  <c r="F16" i="9" s="1"/>
  <c r="F9" i="3"/>
  <c r="F35" i="9" s="1"/>
  <c r="Q20" i="6"/>
  <c r="T20" i="6"/>
  <c r="N20" i="6"/>
  <c r="G9" i="3"/>
  <c r="G17" i="3"/>
  <c r="G16" i="9" s="1"/>
  <c r="AC20" i="6"/>
  <c r="G10" i="2"/>
  <c r="R18" i="6"/>
  <c r="G16" i="2" s="1"/>
  <c r="Y20" i="6"/>
  <c r="AE29" i="6"/>
  <c r="AF29" i="6" s="1"/>
  <c r="AG29" i="6" s="1"/>
  <c r="AH29" i="6" s="1"/>
  <c r="AI29" i="6" s="1"/>
  <c r="AJ29" i="6" s="1"/>
  <c r="AK29" i="6" s="1"/>
  <c r="AL29" i="6" s="1"/>
  <c r="AM29" i="6" s="1"/>
  <c r="AN29" i="6" s="1"/>
  <c r="AO29" i="6" s="1"/>
  <c r="F8" i="2"/>
  <c r="F16" i="6"/>
  <c r="G20" i="6"/>
  <c r="Z20" i="6"/>
  <c r="W20" i="6"/>
  <c r="M20" i="6"/>
  <c r="S27" i="6"/>
  <c r="T27" i="6" s="1"/>
  <c r="U27" i="6" s="1"/>
  <c r="V27" i="6" s="1"/>
  <c r="W27" i="6" s="1"/>
  <c r="X27" i="6" s="1"/>
  <c r="Y27" i="6" s="1"/>
  <c r="Z27" i="6" s="1"/>
  <c r="AA27" i="6" s="1"/>
  <c r="AB27" i="6" s="1"/>
  <c r="AC27" i="6" s="1"/>
  <c r="AD27" i="6" s="1"/>
  <c r="G25" i="2"/>
  <c r="AH81" i="7"/>
  <c r="AH13" i="6" s="1"/>
  <c r="AB81" i="7"/>
  <c r="AB13" i="6" s="1"/>
  <c r="Z81" i="7"/>
  <c r="Z13" i="6" s="1"/>
  <c r="Q81" i="7"/>
  <c r="Q13" i="6" s="1"/>
  <c r="G81" i="7"/>
  <c r="G13" i="6" s="1"/>
  <c r="W81" i="7"/>
  <c r="W13" i="6" s="1"/>
  <c r="M81" i="7"/>
  <c r="M13" i="6" s="1"/>
  <c r="AE81" i="7"/>
  <c r="AE13" i="6" s="1"/>
  <c r="N81" i="7"/>
  <c r="N13" i="6" s="1"/>
  <c r="AO81" i="7"/>
  <c r="AO13" i="6" s="1"/>
  <c r="U81" i="7"/>
  <c r="U13" i="6" s="1"/>
  <c r="V81" i="7"/>
  <c r="V13" i="6" s="1"/>
  <c r="T81" i="7"/>
  <c r="T13" i="6" s="1"/>
  <c r="AC81" i="7"/>
  <c r="AC13" i="6" s="1"/>
  <c r="AM81" i="7"/>
  <c r="AM13" i="6" s="1"/>
  <c r="F81" i="7"/>
  <c r="F13" i="6" s="1"/>
  <c r="Y81" i="7"/>
  <c r="Y13" i="6" s="1"/>
  <c r="H81" i="7"/>
  <c r="H13" i="6" s="1"/>
  <c r="AI81" i="7"/>
  <c r="AI13" i="6" s="1"/>
  <c r="S81" i="7"/>
  <c r="S13" i="6" s="1"/>
  <c r="I81" i="7"/>
  <c r="I13" i="6" s="1"/>
  <c r="L81" i="7"/>
  <c r="L13" i="6" s="1"/>
  <c r="P81" i="7"/>
  <c r="P13" i="6" s="1"/>
  <c r="AD81" i="7"/>
  <c r="AD13" i="6" s="1"/>
  <c r="X81" i="7"/>
  <c r="X13" i="6" s="1"/>
  <c r="AK81" i="7"/>
  <c r="AK13" i="6" s="1"/>
  <c r="AN81" i="7"/>
  <c r="AN13" i="6" s="1"/>
  <c r="AJ81" i="7"/>
  <c r="AJ13" i="6" s="1"/>
  <c r="O81" i="7"/>
  <c r="O13" i="6" s="1"/>
  <c r="J81" i="7"/>
  <c r="J13" i="6" s="1"/>
  <c r="AG81" i="7"/>
  <c r="AG13" i="6" s="1"/>
  <c r="AF81" i="7"/>
  <c r="AF13" i="6" s="1"/>
  <c r="K81" i="7"/>
  <c r="K13" i="6" s="1"/>
  <c r="I26" i="7"/>
  <c r="H29" i="7"/>
  <c r="I45" i="7"/>
  <c r="H48" i="7"/>
  <c r="I39" i="7"/>
  <c r="H42" i="7"/>
  <c r="I32" i="7"/>
  <c r="H35" i="7"/>
  <c r="G21" i="7"/>
  <c r="G20" i="7"/>
  <c r="G16" i="7"/>
  <c r="G15" i="7"/>
  <c r="G10" i="7"/>
  <c r="G11" i="7" s="1"/>
  <c r="K14" i="7"/>
  <c r="I8" i="7"/>
  <c r="H9" i="7"/>
  <c r="H27" i="2" l="1"/>
  <c r="C23" i="5"/>
  <c r="C24" i="5"/>
  <c r="AN24" i="6"/>
  <c r="AN32" i="6"/>
  <c r="AN25" i="6"/>
  <c r="AN31" i="6"/>
  <c r="AM32" i="6"/>
  <c r="AM31" i="6"/>
  <c r="AM24" i="6"/>
  <c r="AM25" i="6"/>
  <c r="Z25" i="6"/>
  <c r="Z31" i="6"/>
  <c r="Z24" i="6"/>
  <c r="Z32" i="6"/>
  <c r="AI20" i="6"/>
  <c r="T24" i="6"/>
  <c r="T31" i="6"/>
  <c r="T32" i="6"/>
  <c r="T25" i="6"/>
  <c r="AM20" i="6"/>
  <c r="AD31" i="6"/>
  <c r="H11" i="2"/>
  <c r="AD32" i="6"/>
  <c r="AD25" i="6"/>
  <c r="AD24" i="6"/>
  <c r="V32" i="6"/>
  <c r="V24" i="6"/>
  <c r="V31" i="6"/>
  <c r="V25" i="6"/>
  <c r="H12" i="3"/>
  <c r="H35" i="9"/>
  <c r="P24" i="6"/>
  <c r="P32" i="6"/>
  <c r="P25" i="6"/>
  <c r="P31" i="6"/>
  <c r="U32" i="6"/>
  <c r="U31" i="6"/>
  <c r="U24" i="6"/>
  <c r="U25" i="6"/>
  <c r="AG20" i="6"/>
  <c r="G12" i="4"/>
  <c r="G13" i="4"/>
  <c r="N25" i="6"/>
  <c r="N31" i="6"/>
  <c r="N24" i="6"/>
  <c r="N32" i="6"/>
  <c r="AE31" i="6"/>
  <c r="AE32" i="6"/>
  <c r="AE25" i="6"/>
  <c r="AE24" i="6"/>
  <c r="G12" i="3"/>
  <c r="G35" i="9"/>
  <c r="R16" i="6"/>
  <c r="G8" i="2"/>
  <c r="AN20" i="6"/>
  <c r="AA32" i="6"/>
  <c r="AA31" i="6"/>
  <c r="AA24" i="6"/>
  <c r="AA25" i="6"/>
  <c r="H25" i="4"/>
  <c r="H28" i="4" s="1"/>
  <c r="H29" i="4" s="1"/>
  <c r="H28" i="9" s="1"/>
  <c r="G28" i="9"/>
  <c r="AG32" i="6"/>
  <c r="AG24" i="6"/>
  <c r="AG25" i="6"/>
  <c r="AG31" i="6"/>
  <c r="AI32" i="6"/>
  <c r="AI25" i="6"/>
  <c r="AI24" i="6"/>
  <c r="AI31" i="6"/>
  <c r="M25" i="6"/>
  <c r="M31" i="6"/>
  <c r="M24" i="6"/>
  <c r="M32" i="6"/>
  <c r="R31" i="6"/>
  <c r="G11" i="2"/>
  <c r="R32" i="6"/>
  <c r="R25" i="6"/>
  <c r="R24" i="6"/>
  <c r="AK20" i="6"/>
  <c r="J32" i="6"/>
  <c r="J25" i="6"/>
  <c r="J31" i="6"/>
  <c r="J24" i="6"/>
  <c r="H32" i="6"/>
  <c r="H31" i="6"/>
  <c r="H24" i="6"/>
  <c r="H25" i="6"/>
  <c r="W32" i="6"/>
  <c r="W25" i="6"/>
  <c r="W24" i="6"/>
  <c r="W31" i="6"/>
  <c r="F20" i="6"/>
  <c r="F18" i="2" s="1"/>
  <c r="F14" i="2"/>
  <c r="AE28" i="6"/>
  <c r="AF28" i="6" s="1"/>
  <c r="AG28" i="6" s="1"/>
  <c r="AH28" i="6" s="1"/>
  <c r="AI28" i="6" s="1"/>
  <c r="AJ28" i="6" s="1"/>
  <c r="AK28" i="6" s="1"/>
  <c r="AL28" i="6" s="1"/>
  <c r="AM28" i="6" s="1"/>
  <c r="AN28" i="6" s="1"/>
  <c r="AO28" i="6" s="1"/>
  <c r="F12" i="3"/>
  <c r="F37" i="9"/>
  <c r="H8" i="2"/>
  <c r="H33" i="4"/>
  <c r="H36" i="4" s="1"/>
  <c r="H37" i="4" s="1"/>
  <c r="H29" i="9" s="1"/>
  <c r="G29" i="9"/>
  <c r="AJ32" i="6"/>
  <c r="AJ25" i="6"/>
  <c r="AJ31" i="6"/>
  <c r="AJ24" i="6"/>
  <c r="F32" i="6"/>
  <c r="F31" i="6"/>
  <c r="F25" i="6"/>
  <c r="F24" i="6"/>
  <c r="F11" i="2"/>
  <c r="Q25" i="6"/>
  <c r="Q24" i="6"/>
  <c r="Q32" i="6"/>
  <c r="Q31" i="6"/>
  <c r="AH20" i="6"/>
  <c r="AK25" i="6"/>
  <c r="AK31" i="6"/>
  <c r="AK32" i="6"/>
  <c r="AK24" i="6"/>
  <c r="AC25" i="6"/>
  <c r="AC24" i="6"/>
  <c r="AC31" i="6"/>
  <c r="AC32" i="6"/>
  <c r="AB24" i="6"/>
  <c r="AB31" i="6"/>
  <c r="AB32" i="6"/>
  <c r="AB25" i="6"/>
  <c r="AL20" i="6"/>
  <c r="V23" i="6"/>
  <c r="U33" i="6"/>
  <c r="U35" i="6" s="1"/>
  <c r="U37" i="6" s="1"/>
  <c r="AE20" i="6"/>
  <c r="X32" i="6"/>
  <c r="X25" i="6"/>
  <c r="X31" i="6"/>
  <c r="X24" i="6"/>
  <c r="AH32" i="6"/>
  <c r="AH25" i="6"/>
  <c r="AH24" i="6"/>
  <c r="AH31" i="6"/>
  <c r="AL25" i="6"/>
  <c r="AL31" i="6"/>
  <c r="AL24" i="6"/>
  <c r="AL32" i="6"/>
  <c r="AE27" i="6"/>
  <c r="AF27" i="6" s="1"/>
  <c r="AF20" i="6"/>
  <c r="L32" i="6"/>
  <c r="L25" i="6"/>
  <c r="L31" i="6"/>
  <c r="L24" i="6"/>
  <c r="L33" i="6" s="1"/>
  <c r="L35" i="6" s="1"/>
  <c r="L37" i="6" s="1"/>
  <c r="AO25" i="6"/>
  <c r="AO24" i="6"/>
  <c r="AO31" i="6"/>
  <c r="AO32" i="6"/>
  <c r="G20" i="4"/>
  <c r="G21" i="4" s="1"/>
  <c r="K32" i="6"/>
  <c r="K25" i="6"/>
  <c r="K24" i="6"/>
  <c r="K31" i="6"/>
  <c r="I32" i="6"/>
  <c r="I31" i="6"/>
  <c r="I25" i="6"/>
  <c r="I24" i="6"/>
  <c r="I33" i="6" s="1"/>
  <c r="I35" i="6" s="1"/>
  <c r="I37" i="6" s="1"/>
  <c r="AF24" i="6"/>
  <c r="AF25" i="6"/>
  <c r="AF32" i="6"/>
  <c r="AF31" i="6"/>
  <c r="S25" i="6"/>
  <c r="S31" i="6"/>
  <c r="S24" i="6"/>
  <c r="S32" i="6"/>
  <c r="O32" i="6"/>
  <c r="O31" i="6"/>
  <c r="O24" i="6"/>
  <c r="O25" i="6"/>
  <c r="Y25" i="6"/>
  <c r="Y31" i="6"/>
  <c r="Y24" i="6"/>
  <c r="Y32" i="6"/>
  <c r="G31" i="6"/>
  <c r="G24" i="6"/>
  <c r="G32" i="6"/>
  <c r="G25" i="6"/>
  <c r="AJ20" i="6"/>
  <c r="H17" i="2"/>
  <c r="H14" i="2"/>
  <c r="AD20" i="6"/>
  <c r="H24" i="2"/>
  <c r="J45" i="7"/>
  <c r="I48" i="7"/>
  <c r="J26" i="7"/>
  <c r="I29" i="7"/>
  <c r="J32" i="7"/>
  <c r="I35" i="7"/>
  <c r="J39" i="7"/>
  <c r="I42" i="7"/>
  <c r="H21" i="7"/>
  <c r="H20" i="7"/>
  <c r="H16" i="7"/>
  <c r="H10" i="7"/>
  <c r="H11" i="7" s="1"/>
  <c r="H15" i="7"/>
  <c r="J8" i="7"/>
  <c r="I9" i="7"/>
  <c r="Q33" i="6" l="1"/>
  <c r="F15" i="3" s="1"/>
  <c r="H26" i="2"/>
  <c r="J33" i="6"/>
  <c r="J35" i="6" s="1"/>
  <c r="J37" i="6" s="1"/>
  <c r="G27" i="9"/>
  <c r="H17" i="4"/>
  <c r="H38" i="9"/>
  <c r="K33" i="6"/>
  <c r="K35" i="6" s="1"/>
  <c r="K37" i="6" s="1"/>
  <c r="G22" i="2"/>
  <c r="R33" i="6"/>
  <c r="F22" i="2"/>
  <c r="F33" i="6"/>
  <c r="G23" i="2"/>
  <c r="F23" i="2"/>
  <c r="F38" i="9"/>
  <c r="H33" i="6"/>
  <c r="H35" i="6" s="1"/>
  <c r="G30" i="2"/>
  <c r="T33" i="6"/>
  <c r="T35" i="6" s="1"/>
  <c r="T37" i="6" s="1"/>
  <c r="H22" i="2"/>
  <c r="AG27" i="6"/>
  <c r="G33" i="6"/>
  <c r="G35" i="6" s="1"/>
  <c r="M33" i="6"/>
  <c r="M35" i="6" s="1"/>
  <c r="M37" i="6" s="1"/>
  <c r="H30" i="2"/>
  <c r="H18" i="2"/>
  <c r="W23" i="6"/>
  <c r="V33" i="6"/>
  <c r="V35" i="6" s="1"/>
  <c r="V37" i="6" s="1"/>
  <c r="H23" i="2"/>
  <c r="P33" i="6"/>
  <c r="P35" i="6" s="1"/>
  <c r="P37" i="6" s="1"/>
  <c r="F14" i="9"/>
  <c r="F20" i="3"/>
  <c r="F19" i="9" s="1"/>
  <c r="O33" i="6"/>
  <c r="O35" i="6" s="1"/>
  <c r="O37" i="6" s="1"/>
  <c r="F29" i="2"/>
  <c r="N33" i="6"/>
  <c r="N35" i="6" s="1"/>
  <c r="N37" i="6" s="1"/>
  <c r="F30" i="2"/>
  <c r="G29" i="2"/>
  <c r="G14" i="2"/>
  <c r="R20" i="6"/>
  <c r="H9" i="4"/>
  <c r="G26" i="9"/>
  <c r="G38" i="9"/>
  <c r="G34" i="2"/>
  <c r="G9" i="10" s="1"/>
  <c r="S33" i="6"/>
  <c r="S35" i="6" s="1"/>
  <c r="S37" i="6" s="1"/>
  <c r="Q35" i="6"/>
  <c r="Q37" i="6" s="1"/>
  <c r="H29" i="2"/>
  <c r="F8" i="9"/>
  <c r="C26" i="5"/>
  <c r="F21" i="10"/>
  <c r="F22" i="10" s="1"/>
  <c r="K26" i="7"/>
  <c r="J29" i="7"/>
  <c r="K45" i="7"/>
  <c r="J48" i="7"/>
  <c r="K39" i="7"/>
  <c r="J42" i="7"/>
  <c r="K32" i="7"/>
  <c r="J35" i="7"/>
  <c r="I21" i="7"/>
  <c r="I16" i="7"/>
  <c r="I20" i="7"/>
  <c r="I10" i="7"/>
  <c r="I11" i="7" s="1"/>
  <c r="K8" i="7"/>
  <c r="J9" i="7"/>
  <c r="I15" i="7"/>
  <c r="J15" i="7" s="1"/>
  <c r="AH27" i="6" l="1"/>
  <c r="AI27" i="6" s="1"/>
  <c r="AJ27" i="6" s="1"/>
  <c r="AK27" i="6" s="1"/>
  <c r="AL27" i="6" s="1"/>
  <c r="AM27" i="6" s="1"/>
  <c r="AN27" i="6" s="1"/>
  <c r="AO27" i="6" s="1"/>
  <c r="G18" i="2"/>
  <c r="R35" i="6"/>
  <c r="X23" i="6"/>
  <c r="W33" i="6"/>
  <c r="W35" i="6" s="1"/>
  <c r="W37" i="6" s="1"/>
  <c r="F22" i="3"/>
  <c r="F23" i="3" s="1"/>
  <c r="F11" i="10" s="1"/>
  <c r="F31" i="2"/>
  <c r="F35" i="6"/>
  <c r="F33" i="2" s="1"/>
  <c r="F36" i="2" s="1"/>
  <c r="F39" i="2" s="1"/>
  <c r="H12" i="4"/>
  <c r="H13" i="4"/>
  <c r="H26" i="9" s="1"/>
  <c r="G8" i="9"/>
  <c r="H20" i="4"/>
  <c r="H21" i="4" s="1"/>
  <c r="H27" i="9" s="1"/>
  <c r="L45" i="7"/>
  <c r="K48" i="7"/>
  <c r="L26" i="7"/>
  <c r="K29" i="7"/>
  <c r="L32" i="7"/>
  <c r="K35" i="7"/>
  <c r="L39" i="7"/>
  <c r="K42" i="7"/>
  <c r="J21" i="7"/>
  <c r="J20" i="7"/>
  <c r="J16" i="7"/>
  <c r="J10" i="7"/>
  <c r="J11" i="7" s="1"/>
  <c r="L8" i="7"/>
  <c r="K9" i="7"/>
  <c r="F40" i="2" l="1"/>
  <c r="F42" i="2" s="1"/>
  <c r="H8" i="9"/>
  <c r="R37" i="6"/>
  <c r="Y23" i="6"/>
  <c r="X33" i="6"/>
  <c r="H34" i="2"/>
  <c r="H9" i="10" s="1"/>
  <c r="H25" i="2"/>
  <c r="M26" i="7"/>
  <c r="L29" i="7"/>
  <c r="K21" i="7"/>
  <c r="M45" i="7"/>
  <c r="L48" i="7"/>
  <c r="M39" i="7"/>
  <c r="L42" i="7"/>
  <c r="M32" i="7"/>
  <c r="L35" i="7"/>
  <c r="K16" i="7"/>
  <c r="K20" i="7"/>
  <c r="K10" i="7"/>
  <c r="K11" i="7" s="1"/>
  <c r="M8" i="7"/>
  <c r="L9" i="7"/>
  <c r="K15" i="7"/>
  <c r="L15" i="7" s="1"/>
  <c r="X35" i="6" l="1"/>
  <c r="Z23" i="6"/>
  <c r="Y33" i="6"/>
  <c r="Y35" i="6" s="1"/>
  <c r="Y37" i="6" s="1"/>
  <c r="F8" i="10"/>
  <c r="F10" i="10" s="1"/>
  <c r="F13" i="10" s="1"/>
  <c r="F24" i="10" s="1"/>
  <c r="F26" i="10" s="1"/>
  <c r="F9" i="9"/>
  <c r="F44" i="2"/>
  <c r="N45" i="7"/>
  <c r="M48" i="7"/>
  <c r="L21" i="7"/>
  <c r="N26" i="7"/>
  <c r="M29" i="7"/>
  <c r="N32" i="7"/>
  <c r="M35" i="7"/>
  <c r="N39" i="7"/>
  <c r="M42" i="7"/>
  <c r="L20" i="7"/>
  <c r="L16" i="7"/>
  <c r="L10" i="7"/>
  <c r="L11" i="7" s="1"/>
  <c r="N8" i="7"/>
  <c r="M9" i="7"/>
  <c r="G25" i="10" l="1"/>
  <c r="F39" i="9"/>
  <c r="F41" i="9" s="1"/>
  <c r="AA23" i="6"/>
  <c r="Z33" i="6"/>
  <c r="F11" i="9"/>
  <c r="F21" i="9" s="1"/>
  <c r="F43" i="9" s="1"/>
  <c r="X37" i="6"/>
  <c r="O26" i="7"/>
  <c r="N29" i="7"/>
  <c r="M21" i="7"/>
  <c r="O45" i="7"/>
  <c r="N48" i="7"/>
  <c r="O39" i="7"/>
  <c r="N42" i="7"/>
  <c r="O32" i="7"/>
  <c r="N35" i="7"/>
  <c r="M16" i="7"/>
  <c r="M20" i="7"/>
  <c r="M10" i="7"/>
  <c r="M11" i="7" s="1"/>
  <c r="O8" i="7"/>
  <c r="N9" i="7"/>
  <c r="M15" i="7"/>
  <c r="Z35" i="6" l="1"/>
  <c r="AB23" i="6"/>
  <c r="AA33" i="6"/>
  <c r="AA35" i="6" s="1"/>
  <c r="AA37" i="6" s="1"/>
  <c r="P45" i="7"/>
  <c r="O48" i="7"/>
  <c r="N21" i="7"/>
  <c r="P26" i="7"/>
  <c r="O29" i="7"/>
  <c r="P32" i="7"/>
  <c r="O35" i="7"/>
  <c r="P39" i="7"/>
  <c r="O42" i="7"/>
  <c r="N15" i="7"/>
  <c r="N20" i="7"/>
  <c r="N16" i="7"/>
  <c r="N10" i="7"/>
  <c r="N11" i="7" s="1"/>
  <c r="P8" i="7"/>
  <c r="O9" i="7"/>
  <c r="O21" i="7" s="1"/>
  <c r="AC23" i="6" l="1"/>
  <c r="AB33" i="6"/>
  <c r="Z37" i="6"/>
  <c r="Q26" i="7"/>
  <c r="P29" i="7"/>
  <c r="Q45" i="7"/>
  <c r="P48" i="7"/>
  <c r="Q39" i="7"/>
  <c r="P42" i="7"/>
  <c r="Q32" i="7"/>
  <c r="P35" i="7"/>
  <c r="O16" i="7"/>
  <c r="O20" i="7"/>
  <c r="O10" i="7"/>
  <c r="O11" i="7" s="1"/>
  <c r="Q8" i="7"/>
  <c r="P9" i="7"/>
  <c r="P21" i="7" s="1"/>
  <c r="O15" i="7"/>
  <c r="AB35" i="6" l="1"/>
  <c r="G31" i="2"/>
  <c r="AD23" i="6"/>
  <c r="AC33" i="6"/>
  <c r="R45" i="7"/>
  <c r="Q48" i="7"/>
  <c r="R26" i="7"/>
  <c r="Q29" i="7"/>
  <c r="R32" i="7"/>
  <c r="Q35" i="7"/>
  <c r="R39" i="7"/>
  <c r="Q42" i="7"/>
  <c r="P20" i="7"/>
  <c r="P16" i="7"/>
  <c r="P15" i="7"/>
  <c r="P10" i="7"/>
  <c r="P11" i="7" s="1"/>
  <c r="R8" i="7"/>
  <c r="Q9" i="7"/>
  <c r="Q21" i="7" s="1"/>
  <c r="G15" i="3" l="1"/>
  <c r="AC35" i="6"/>
  <c r="AC37" i="6" s="1"/>
  <c r="AE23" i="6"/>
  <c r="AD33" i="6"/>
  <c r="AB37" i="6"/>
  <c r="G33" i="2"/>
  <c r="G36" i="2" s="1"/>
  <c r="G39" i="2" s="1"/>
  <c r="S26" i="7"/>
  <c r="R29" i="7"/>
  <c r="S45" i="7"/>
  <c r="R48" i="7"/>
  <c r="S39" i="7"/>
  <c r="R42" i="7"/>
  <c r="S32" i="7"/>
  <c r="R35" i="7"/>
  <c r="Q16" i="7"/>
  <c r="Q20" i="7"/>
  <c r="Q10" i="7"/>
  <c r="Q11" i="7" s="1"/>
  <c r="R9" i="7"/>
  <c r="R21" i="7" s="1"/>
  <c r="S8" i="7"/>
  <c r="Q15" i="7"/>
  <c r="G40" i="2" l="1"/>
  <c r="G42" i="2" s="1"/>
  <c r="AD35" i="6"/>
  <c r="AF23" i="6"/>
  <c r="AE33" i="6"/>
  <c r="AE35" i="6" s="1"/>
  <c r="AE37" i="6" s="1"/>
  <c r="G14" i="9"/>
  <c r="G20" i="3"/>
  <c r="T45" i="7"/>
  <c r="S48" i="7"/>
  <c r="R15" i="7"/>
  <c r="T26" i="7"/>
  <c r="S29" i="7"/>
  <c r="T32" i="7"/>
  <c r="S35" i="7"/>
  <c r="T39" i="7"/>
  <c r="S42" i="7"/>
  <c r="R16" i="7"/>
  <c r="R20" i="7"/>
  <c r="T8" i="7"/>
  <c r="S9" i="7"/>
  <c r="S21" i="7" s="1"/>
  <c r="R10" i="7"/>
  <c r="R11" i="7" s="1"/>
  <c r="G8" i="10" l="1"/>
  <c r="G10" i="10" s="1"/>
  <c r="G44" i="2"/>
  <c r="G9" i="9"/>
  <c r="G19" i="9"/>
  <c r="G22" i="3"/>
  <c r="G23" i="3" s="1"/>
  <c r="G11" i="10" s="1"/>
  <c r="AG23" i="6"/>
  <c r="AF33" i="6"/>
  <c r="AD37" i="6"/>
  <c r="U26" i="7"/>
  <c r="T29" i="7"/>
  <c r="U45" i="7"/>
  <c r="T48" i="7"/>
  <c r="U39" i="7"/>
  <c r="T42" i="7"/>
  <c r="U32" i="7"/>
  <c r="T35" i="7"/>
  <c r="S16" i="7"/>
  <c r="S20" i="7"/>
  <c r="S10" i="7"/>
  <c r="S11" i="7" s="1"/>
  <c r="U8" i="7"/>
  <c r="T9" i="7"/>
  <c r="T21" i="7" s="1"/>
  <c r="S15" i="7"/>
  <c r="AH23" i="6" l="1"/>
  <c r="AG33" i="6"/>
  <c r="AG35" i="6" s="1"/>
  <c r="AG37" i="6" s="1"/>
  <c r="G11" i="9"/>
  <c r="G21" i="9" s="1"/>
  <c r="AF35" i="6"/>
  <c r="G13" i="10"/>
  <c r="G24" i="10" s="1"/>
  <c r="G26" i="10" s="1"/>
  <c r="V45" i="7"/>
  <c r="U48" i="7"/>
  <c r="V26" i="7"/>
  <c r="U29" i="7"/>
  <c r="V32" i="7"/>
  <c r="U35" i="7"/>
  <c r="V39" i="7"/>
  <c r="U42" i="7"/>
  <c r="T15" i="7"/>
  <c r="T20" i="7"/>
  <c r="T16" i="7"/>
  <c r="T10" i="7"/>
  <c r="T11" i="7" s="1"/>
  <c r="V8" i="7"/>
  <c r="U9" i="7"/>
  <c r="U21" i="7" s="1"/>
  <c r="H25" i="10" l="1"/>
  <c r="G39" i="9"/>
  <c r="G41" i="9" s="1"/>
  <c r="G43" i="9" s="1"/>
  <c r="AF37" i="6"/>
  <c r="AI23" i="6"/>
  <c r="AH33" i="6"/>
  <c r="W26" i="7"/>
  <c r="V29" i="7"/>
  <c r="W45" i="7"/>
  <c r="V48" i="7"/>
  <c r="W39" i="7"/>
  <c r="V42" i="7"/>
  <c r="W32" i="7"/>
  <c r="V35" i="7"/>
  <c r="U16" i="7"/>
  <c r="U20" i="7"/>
  <c r="U10" i="7"/>
  <c r="U11" i="7" s="1"/>
  <c r="W8" i="7"/>
  <c r="V9" i="7"/>
  <c r="V21" i="7" s="1"/>
  <c r="U15" i="7"/>
  <c r="V15" i="7" s="1"/>
  <c r="AJ23" i="6" l="1"/>
  <c r="AI33" i="6"/>
  <c r="AI35" i="6" s="1"/>
  <c r="AI37" i="6" s="1"/>
  <c r="AH35" i="6"/>
  <c r="X45" i="7"/>
  <c r="W48" i="7"/>
  <c r="X26" i="7"/>
  <c r="W29" i="7"/>
  <c r="X32" i="7"/>
  <c r="W35" i="7"/>
  <c r="X39" i="7"/>
  <c r="W42" i="7"/>
  <c r="V20" i="7"/>
  <c r="V16" i="7"/>
  <c r="V10" i="7"/>
  <c r="V11" i="7" s="1"/>
  <c r="X8" i="7"/>
  <c r="W9" i="7"/>
  <c r="W21" i="7" s="1"/>
  <c r="AH37" i="6" l="1"/>
  <c r="AK23" i="6"/>
  <c r="AJ33" i="6"/>
  <c r="Y26" i="7"/>
  <c r="X29" i="7"/>
  <c r="Y45" i="7"/>
  <c r="X48" i="7"/>
  <c r="Y39" i="7"/>
  <c r="X42" i="7"/>
  <c r="Y32" i="7"/>
  <c r="X35" i="7"/>
  <c r="W16" i="7"/>
  <c r="W20" i="7"/>
  <c r="W10" i="7"/>
  <c r="W11" i="7" s="1"/>
  <c r="Y8" i="7"/>
  <c r="X9" i="7"/>
  <c r="X21" i="7" s="1"/>
  <c r="W15" i="7"/>
  <c r="X15" i="7" s="1"/>
  <c r="AJ35" i="6" l="1"/>
  <c r="AL23" i="6"/>
  <c r="AK33" i="6"/>
  <c r="AK35" i="6" s="1"/>
  <c r="AK37" i="6" s="1"/>
  <c r="Z45" i="7"/>
  <c r="Y48" i="7"/>
  <c r="Z26" i="7"/>
  <c r="Y29" i="7"/>
  <c r="Z32" i="7"/>
  <c r="Y35" i="7"/>
  <c r="Z39" i="7"/>
  <c r="Y42" i="7"/>
  <c r="X20" i="7"/>
  <c r="X16" i="7"/>
  <c r="X10" i="7"/>
  <c r="X11" i="7" s="1"/>
  <c r="Z8" i="7"/>
  <c r="Y9" i="7"/>
  <c r="Y21" i="7" s="1"/>
  <c r="AM23" i="6" l="1"/>
  <c r="AL33" i="6"/>
  <c r="AJ37" i="6"/>
  <c r="AA26" i="7"/>
  <c r="Z29" i="7"/>
  <c r="AA45" i="7"/>
  <c r="Z48" i="7"/>
  <c r="AA39" i="7"/>
  <c r="Z42" i="7"/>
  <c r="AA32" i="7"/>
  <c r="Z35" i="7"/>
  <c r="Y16" i="7"/>
  <c r="Y20" i="7"/>
  <c r="Y10" i="7"/>
  <c r="Y11" i="7" s="1"/>
  <c r="AA8" i="7"/>
  <c r="Z9" i="7"/>
  <c r="Z21" i="7" s="1"/>
  <c r="Y15" i="7"/>
  <c r="AL35" i="6" l="1"/>
  <c r="AN23" i="6"/>
  <c r="AM33" i="6"/>
  <c r="AM35" i="6" s="1"/>
  <c r="AM37" i="6" s="1"/>
  <c r="AB45" i="7"/>
  <c r="AA48" i="7"/>
  <c r="AB26" i="7"/>
  <c r="AA29" i="7"/>
  <c r="AB32" i="7"/>
  <c r="AA35" i="7"/>
  <c r="AB39" i="7"/>
  <c r="AA42" i="7"/>
  <c r="Z15" i="7"/>
  <c r="Z20" i="7"/>
  <c r="Z16" i="7"/>
  <c r="Z10" i="7"/>
  <c r="Z11" i="7" s="1"/>
  <c r="AB8" i="7"/>
  <c r="AA9" i="7"/>
  <c r="AA21" i="7" s="1"/>
  <c r="AO23" i="6" l="1"/>
  <c r="AN33" i="6"/>
  <c r="AN35" i="6" s="1"/>
  <c r="AN37" i="6" s="1"/>
  <c r="AL37" i="6"/>
  <c r="AC45" i="7"/>
  <c r="AB48" i="7"/>
  <c r="AC26" i="7"/>
  <c r="AB29" i="7"/>
  <c r="AC39" i="7"/>
  <c r="AB42" i="7"/>
  <c r="AC32" i="7"/>
  <c r="AB35" i="7"/>
  <c r="AA16" i="7"/>
  <c r="AA20" i="7"/>
  <c r="AA10" i="7"/>
  <c r="AA11" i="7" s="1"/>
  <c r="AC8" i="7"/>
  <c r="AB9" i="7"/>
  <c r="AB21" i="7" s="1"/>
  <c r="AA15" i="7"/>
  <c r="AO33" i="6" l="1"/>
  <c r="G21" i="2"/>
  <c r="H21" i="2"/>
  <c r="AD26" i="7"/>
  <c r="AC29" i="7"/>
  <c r="AD45" i="7"/>
  <c r="AC48" i="7"/>
  <c r="AD32" i="7"/>
  <c r="AC35" i="7"/>
  <c r="AD39" i="7"/>
  <c r="AC42" i="7"/>
  <c r="AB15" i="7"/>
  <c r="AB20" i="7"/>
  <c r="AB16" i="7"/>
  <c r="AB10" i="7"/>
  <c r="AB11" i="7" s="1"/>
  <c r="AD8" i="7"/>
  <c r="AC9" i="7"/>
  <c r="AC21" i="7" s="1"/>
  <c r="H15" i="3" l="1"/>
  <c r="AO35" i="6"/>
  <c r="H31" i="2"/>
  <c r="AE45" i="7"/>
  <c r="AD48" i="7"/>
  <c r="AE26" i="7"/>
  <c r="AD29" i="7"/>
  <c r="AE39" i="7"/>
  <c r="AD42" i="7"/>
  <c r="AE32" i="7"/>
  <c r="AD35" i="7"/>
  <c r="AC16" i="7"/>
  <c r="AC20" i="7"/>
  <c r="AC10" i="7"/>
  <c r="AC11" i="7" s="1"/>
  <c r="AE8" i="7"/>
  <c r="AD9" i="7"/>
  <c r="AD21" i="7" s="1"/>
  <c r="AC15" i="7"/>
  <c r="AO37" i="6" l="1"/>
  <c r="H33" i="2"/>
  <c r="H36" i="2" s="1"/>
  <c r="H39" i="2" s="1"/>
  <c r="H20" i="3"/>
  <c r="H14" i="9"/>
  <c r="AF26" i="7"/>
  <c r="AE29" i="7"/>
  <c r="AF45" i="7"/>
  <c r="AE48" i="7"/>
  <c r="AF32" i="7"/>
  <c r="AE35" i="7"/>
  <c r="AF39" i="7"/>
  <c r="AE42" i="7"/>
  <c r="AD20" i="7"/>
  <c r="AD16" i="7"/>
  <c r="AD15" i="7"/>
  <c r="AD10" i="7"/>
  <c r="AD11" i="7" s="1"/>
  <c r="AF8" i="7"/>
  <c r="AE9" i="7"/>
  <c r="AE21" i="7" s="1"/>
  <c r="H40" i="2" l="1"/>
  <c r="H42" i="2" s="1"/>
  <c r="H19" i="9"/>
  <c r="H22" i="3"/>
  <c r="H23" i="3" s="1"/>
  <c r="H11" i="10" s="1"/>
  <c r="AG45" i="7"/>
  <c r="AF48" i="7"/>
  <c r="AG26" i="7"/>
  <c r="AF29" i="7"/>
  <c r="AG39" i="7"/>
  <c r="AF42" i="7"/>
  <c r="AG32" i="7"/>
  <c r="AF35" i="7"/>
  <c r="AE16" i="7"/>
  <c r="AE20" i="7"/>
  <c r="AE10" i="7"/>
  <c r="AE11" i="7" s="1"/>
  <c r="AG8" i="7"/>
  <c r="AF9" i="7"/>
  <c r="AF21" i="7" s="1"/>
  <c r="AE15" i="7"/>
  <c r="H8" i="10" l="1"/>
  <c r="H10" i="10" s="1"/>
  <c r="H13" i="10" s="1"/>
  <c r="H24" i="10" s="1"/>
  <c r="H26" i="10" s="1"/>
  <c r="H39" i="9" s="1"/>
  <c r="H41" i="9" s="1"/>
  <c r="H44" i="2"/>
  <c r="H9" i="9"/>
  <c r="H11" i="9" s="1"/>
  <c r="H21" i="9" s="1"/>
  <c r="AH26" i="7"/>
  <c r="AG29" i="7"/>
  <c r="AH45" i="7"/>
  <c r="AG48" i="7"/>
  <c r="AH32" i="7"/>
  <c r="AG35" i="7"/>
  <c r="AH39" i="7"/>
  <c r="AG42" i="7"/>
  <c r="AF20" i="7"/>
  <c r="AF16" i="7"/>
  <c r="AF15" i="7"/>
  <c r="AF10" i="7"/>
  <c r="AF11" i="7" s="1"/>
  <c r="AH8" i="7"/>
  <c r="AG9" i="7"/>
  <c r="AG21" i="7" s="1"/>
  <c r="H43" i="9" l="1"/>
  <c r="AI45" i="7"/>
  <c r="AH48" i="7"/>
  <c r="AI26" i="7"/>
  <c r="AH29" i="7"/>
  <c r="AI39" i="7"/>
  <c r="AH42" i="7"/>
  <c r="AI32" i="7"/>
  <c r="AH35" i="7"/>
  <c r="AG16" i="7"/>
  <c r="AG20" i="7"/>
  <c r="AG10" i="7"/>
  <c r="AG11" i="7" s="1"/>
  <c r="AI8" i="7"/>
  <c r="AH9" i="7"/>
  <c r="AH21" i="7" s="1"/>
  <c r="AG15" i="7"/>
  <c r="AJ26" i="7" l="1"/>
  <c r="AI29" i="7"/>
  <c r="AJ45" i="7"/>
  <c r="AI48" i="7"/>
  <c r="AJ32" i="7"/>
  <c r="AI35" i="7"/>
  <c r="AJ39" i="7"/>
  <c r="AI42" i="7"/>
  <c r="AH15" i="7"/>
  <c r="AH20" i="7"/>
  <c r="AH16" i="7"/>
  <c r="AH10" i="7"/>
  <c r="AH11" i="7" s="1"/>
  <c r="AJ8" i="7"/>
  <c r="AI9" i="7"/>
  <c r="AI21" i="7" s="1"/>
  <c r="AK45" i="7" l="1"/>
  <c r="AJ48" i="7"/>
  <c r="AK26" i="7"/>
  <c r="AJ29" i="7"/>
  <c r="AK39" i="7"/>
  <c r="AJ42" i="7"/>
  <c r="AK32" i="7"/>
  <c r="AJ35" i="7"/>
  <c r="AI16" i="7"/>
  <c r="AI20" i="7"/>
  <c r="AI10" i="7"/>
  <c r="AI11" i="7" s="1"/>
  <c r="AK8" i="7"/>
  <c r="AJ9" i="7"/>
  <c r="AJ21" i="7" s="1"/>
  <c r="AI15" i="7"/>
  <c r="AL26" i="7" l="1"/>
  <c r="AK29" i="7"/>
  <c r="AL45" i="7"/>
  <c r="AK48" i="7"/>
  <c r="AL32" i="7"/>
  <c r="AK35" i="7"/>
  <c r="AL39" i="7"/>
  <c r="AK42" i="7"/>
  <c r="AJ15" i="7"/>
  <c r="AJ20" i="7"/>
  <c r="AJ16" i="7"/>
  <c r="AJ10" i="7"/>
  <c r="AJ11" i="7" s="1"/>
  <c r="AL8" i="7"/>
  <c r="AK9" i="7"/>
  <c r="AK21" i="7" s="1"/>
  <c r="AM45" i="7" l="1"/>
  <c r="AL48" i="7"/>
  <c r="AM26" i="7"/>
  <c r="AL29" i="7"/>
  <c r="AM39" i="7"/>
  <c r="AL42" i="7"/>
  <c r="AM32" i="7"/>
  <c r="AL35" i="7"/>
  <c r="AK16" i="7"/>
  <c r="AK20" i="7"/>
  <c r="AK10" i="7"/>
  <c r="AK11" i="7" s="1"/>
  <c r="AM8" i="7"/>
  <c r="AL9" i="7"/>
  <c r="AL21" i="7" s="1"/>
  <c r="AK15" i="7"/>
  <c r="AN26" i="7" l="1"/>
  <c r="AM29" i="7"/>
  <c r="AN45" i="7"/>
  <c r="AM48" i="7"/>
  <c r="AN32" i="7"/>
  <c r="AM35" i="7"/>
  <c r="AN39" i="7"/>
  <c r="AM42" i="7"/>
  <c r="AL15" i="7"/>
  <c r="AL20" i="7"/>
  <c r="AL16" i="7"/>
  <c r="AL10" i="7"/>
  <c r="AL11" i="7" s="1"/>
  <c r="AN8" i="7"/>
  <c r="AM9" i="7"/>
  <c r="AM21" i="7" s="1"/>
  <c r="AO45" i="7" l="1"/>
  <c r="AO48" i="7" s="1"/>
  <c r="AN48" i="7"/>
  <c r="AO26" i="7"/>
  <c r="AO29" i="7" s="1"/>
  <c r="AN29" i="7"/>
  <c r="AO39" i="7"/>
  <c r="AO42" i="7" s="1"/>
  <c r="AN42" i="7"/>
  <c r="AO32" i="7"/>
  <c r="AO35" i="7" s="1"/>
  <c r="AN35" i="7"/>
  <c r="AM16" i="7"/>
  <c r="AM20" i="7"/>
  <c r="AM10" i="7"/>
  <c r="AM11" i="7" s="1"/>
  <c r="AO8" i="7"/>
  <c r="AO9" i="7" s="1"/>
  <c r="AN9" i="7"/>
  <c r="AN21" i="7" s="1"/>
  <c r="AM15" i="7"/>
  <c r="AN15" i="7" s="1"/>
  <c r="AO21" i="7" l="1"/>
  <c r="AN20" i="7"/>
  <c r="AO20" i="7" s="1"/>
  <c r="AN16" i="7"/>
  <c r="AO16" i="7" s="1"/>
  <c r="AO15" i="7"/>
  <c r="AN10" i="7"/>
  <c r="AN11" i="7" s="1"/>
  <c r="AO10" i="7"/>
  <c r="AO11" i="7" s="1"/>
</calcChain>
</file>

<file path=xl/sharedStrings.xml><?xml version="1.0" encoding="utf-8"?>
<sst xmlns="http://schemas.openxmlformats.org/spreadsheetml/2006/main" count="324" uniqueCount="185">
  <si>
    <t>Period of Construction of restaurant – 3 Months.</t>
  </si>
  <si>
    <t>Start of  Construction</t>
  </si>
  <si>
    <t>Construction period</t>
  </si>
  <si>
    <t>3 Months</t>
  </si>
  <si>
    <t>Date of Operations</t>
  </si>
  <si>
    <t>Revenue</t>
  </si>
  <si>
    <t>Particulars</t>
  </si>
  <si>
    <t>Weekdays</t>
  </si>
  <si>
    <t>Weekend</t>
  </si>
  <si>
    <t>Lunch</t>
  </si>
  <si>
    <t>Dinner</t>
  </si>
  <si>
    <t>APC</t>
  </si>
  <si>
    <t>Alcoholic Beverages</t>
  </si>
  <si>
    <t>Non Alcoholic Beverages</t>
  </si>
  <si>
    <t>Food</t>
  </si>
  <si>
    <t>Y-O-Y Growth price rate</t>
  </si>
  <si>
    <t>Y-O-Y Price Growth rate</t>
  </si>
  <si>
    <t>Occupancy</t>
  </si>
  <si>
    <t>Number of Covers Available</t>
  </si>
  <si>
    <t>Number of Rounds Available</t>
  </si>
  <si>
    <t>Number of Covers Occupied/ Round</t>
  </si>
  <si>
    <t>MoM growth</t>
  </si>
  <si>
    <t>Maximum Occupancy/Round</t>
  </si>
  <si>
    <t xml:space="preserve">Direct Expenses </t>
  </si>
  <si>
    <t>Alcoholic Beverage cost (% of revenue)</t>
  </si>
  <si>
    <t>Non Alcoholic Beverages (% of revenue)</t>
  </si>
  <si>
    <t>Food (% of revenue)</t>
  </si>
  <si>
    <t>Salary</t>
  </si>
  <si>
    <t>Members of Team</t>
  </si>
  <si>
    <t>Number of Employees</t>
  </si>
  <si>
    <t>Salary / M</t>
  </si>
  <si>
    <t>Receptionist</t>
  </si>
  <si>
    <t>Restaurants Manager</t>
  </si>
  <si>
    <t>Waiters</t>
  </si>
  <si>
    <t>Head Chef</t>
  </si>
  <si>
    <t>Chefs</t>
  </si>
  <si>
    <t>Assistant Chef</t>
  </si>
  <si>
    <t>Valet Parking</t>
  </si>
  <si>
    <t>Cleaners</t>
  </si>
  <si>
    <t>Bartender</t>
  </si>
  <si>
    <t>Total</t>
  </si>
  <si>
    <t xml:space="preserve"> Staff salary will increase Y-o-Y basis </t>
  </si>
  <si>
    <t>Indirect Expenses</t>
  </si>
  <si>
    <t>HR Manager</t>
  </si>
  <si>
    <t>Assistant Manager</t>
  </si>
  <si>
    <t>Security</t>
  </si>
  <si>
    <t>Purchase Manager</t>
  </si>
  <si>
    <t>Accountant</t>
  </si>
  <si>
    <t xml:space="preserve"> Others </t>
  </si>
  <si>
    <t>Rotalty to brand (% Of Revenue)</t>
  </si>
  <si>
    <t>Rent (as per contract) (% of revenue)</t>
  </si>
  <si>
    <t>Water Cost (per month)</t>
  </si>
  <si>
    <t>Maintenance (per month)</t>
  </si>
  <si>
    <t>Marketing cost (per month)</t>
  </si>
  <si>
    <t>Electricity (Based on area Rs./sq. Ft.)</t>
  </si>
  <si>
    <t>Phone and internet (per month)</t>
  </si>
  <si>
    <t>Housekeeping  &amp; Consumables (% of revenue)</t>
  </si>
  <si>
    <t>Payment Settlement Charges (% or revenue)</t>
  </si>
  <si>
    <t>Numbers of Tables  occupied opting for card payment</t>
  </si>
  <si>
    <t xml:space="preserve"> Indirect expenses will increase Y-o-Y basis </t>
  </si>
  <si>
    <t>Area specifications</t>
  </si>
  <si>
    <t>Carpet Area required (Sq. ft.)</t>
  </si>
  <si>
    <t>Conversion Rate</t>
  </si>
  <si>
    <t>Super Built up area to be rented (Sq. ft.)</t>
  </si>
  <si>
    <t>Serving Area (% of carpet area)</t>
  </si>
  <si>
    <t>Serving Area</t>
  </si>
  <si>
    <t>Kitchen Area</t>
  </si>
  <si>
    <t>Area per cover (Sq.Ft.)</t>
  </si>
  <si>
    <t>Covers</t>
  </si>
  <si>
    <t>Sitting per table</t>
  </si>
  <si>
    <t>Number of Tables</t>
  </si>
  <si>
    <t>Capital Expenditure</t>
  </si>
  <si>
    <t>Equipments</t>
  </si>
  <si>
    <t>Rate per Sq Ft</t>
  </si>
  <si>
    <t>Kitchen Equipments and cutlery</t>
  </si>
  <si>
    <t>Refrigeration Equipments</t>
  </si>
  <si>
    <t>Furniture &amp; Fixtures</t>
  </si>
  <si>
    <t>Restaurants Décor</t>
  </si>
  <si>
    <t xml:space="preserve">Rent Deposits </t>
  </si>
  <si>
    <t>Working capital</t>
  </si>
  <si>
    <t>Days</t>
  </si>
  <si>
    <t>Initial working capital introduced</t>
  </si>
  <si>
    <t>Inventory</t>
  </si>
  <si>
    <t>Non-Alcoholic Beverages</t>
  </si>
  <si>
    <t>Creditor For Raw material</t>
  </si>
  <si>
    <t>Creditor For Expenses</t>
  </si>
  <si>
    <t xml:space="preserve">Depreciation </t>
  </si>
  <si>
    <t xml:space="preserve"> Equipments </t>
  </si>
  <si>
    <t xml:space="preserve"> Furniture &amp; Fixtures and Restaurant  décor </t>
  </si>
  <si>
    <t>Capital Structure</t>
  </si>
  <si>
    <t>Equity</t>
  </si>
  <si>
    <t>Debt</t>
  </si>
  <si>
    <t>Cash credit limit will be availed if required</t>
  </si>
  <si>
    <t>Rate of Interest on CC Limit</t>
  </si>
  <si>
    <t>Tax Rate</t>
  </si>
  <si>
    <t>End of sheet</t>
  </si>
  <si>
    <t>CURRENCY IN INR</t>
  </si>
  <si>
    <t>Model in</t>
  </si>
  <si>
    <t>ONES</t>
  </si>
  <si>
    <t>HUNDREDS</t>
  </si>
  <si>
    <t>THOUSANDS</t>
  </si>
  <si>
    <t>LAKHS</t>
  </si>
  <si>
    <t>MILLIONS</t>
  </si>
  <si>
    <t>CRORES</t>
  </si>
  <si>
    <t>TENS</t>
  </si>
  <si>
    <t>ALL FINAL VALUES IN</t>
  </si>
  <si>
    <t>OPERATING DAYS</t>
  </si>
  <si>
    <t>NO OF WEEKDAYS IN THE MONTH</t>
  </si>
  <si>
    <t>NO OF WEEKENDS  IN THE MONTH</t>
  </si>
  <si>
    <t>WEEKDAYS</t>
  </si>
  <si>
    <t>LUNCH</t>
  </si>
  <si>
    <t>DINNER</t>
  </si>
  <si>
    <t>WEEKENDS</t>
  </si>
  <si>
    <t>NO OF GUESTS PER DAY</t>
  </si>
  <si>
    <t>TOTAL</t>
  </si>
  <si>
    <t xml:space="preserve">TOTAL </t>
  </si>
  <si>
    <t>REVENUE PER MONTH</t>
  </si>
  <si>
    <t>TOTAL REVENUE FOR MONTH</t>
  </si>
  <si>
    <t>END OF SHEET</t>
  </si>
  <si>
    <t>REVENUE</t>
  </si>
  <si>
    <t>FOOD</t>
  </si>
  <si>
    <t>LESS:DIRECT EXPENSES</t>
  </si>
  <si>
    <t>Staff Salary</t>
  </si>
  <si>
    <t>Total Direct Expenses</t>
  </si>
  <si>
    <t>LESS:INDIRECT EXPENSES</t>
  </si>
  <si>
    <t>OTHER STAFF SALARY</t>
  </si>
  <si>
    <t>Total Indirect Expenses</t>
  </si>
  <si>
    <t>EBITDA</t>
  </si>
  <si>
    <t>EBITDA MARGIN %</t>
  </si>
  <si>
    <t>N/A</t>
  </si>
  <si>
    <t>FIXED ASSETS</t>
  </si>
  <si>
    <t xml:space="preserve"> ALL FINAL VALUES IN</t>
  </si>
  <si>
    <t>ADD: RENT DEPOSITS</t>
  </si>
  <si>
    <t>ADD:WORKING CAPITAL</t>
  </si>
  <si>
    <t xml:space="preserve">TOTAL FUNDS REQUIRED </t>
  </si>
  <si>
    <t>SOURCES OF FUNDS</t>
  </si>
  <si>
    <t>EQUITY CAPITAL</t>
  </si>
  <si>
    <t>DEBT</t>
  </si>
  <si>
    <t>TOTAL FUNDS CONTRIBUTED</t>
  </si>
  <si>
    <t>OPENING BALANCE</t>
  </si>
  <si>
    <t>ADD:PURCHASES</t>
  </si>
  <si>
    <t>LESS:SALES</t>
  </si>
  <si>
    <t>LESS:DEPRICIATION</t>
  </si>
  <si>
    <t>CLOSING BALANCE</t>
  </si>
  <si>
    <t>CURRENT ASSETS</t>
  </si>
  <si>
    <t>INVENTORY</t>
  </si>
  <si>
    <t>CURRENT LIABILITIES</t>
  </si>
  <si>
    <t>CREDITOR FOR EXPENSES</t>
  </si>
  <si>
    <t>CREDITOR FOR RAW MATERIAL</t>
  </si>
  <si>
    <t xml:space="preserve">   FOOD</t>
  </si>
  <si>
    <t xml:space="preserve">   NON ALCOHOLIC BEVERAGES</t>
  </si>
  <si>
    <t xml:space="preserve">   ALCOHOLIC BEVERAGES</t>
  </si>
  <si>
    <t>WORKING CAPITAL</t>
  </si>
  <si>
    <t>CHANGES IN WORKING CAPITAL</t>
  </si>
  <si>
    <t>EBIT</t>
  </si>
  <si>
    <t>LESS:INTEREST</t>
  </si>
  <si>
    <t>EBT</t>
  </si>
  <si>
    <t>LESS:TAXES</t>
  </si>
  <si>
    <t>EAT</t>
  </si>
  <si>
    <t>NP MARGIN%</t>
  </si>
  <si>
    <t>OPERATING ACTIVITIES</t>
  </si>
  <si>
    <t>ADD:NON CASH EXPENSES</t>
  </si>
  <si>
    <t>CASH FROM OPERATIONS BEFORE WORKING CAPITAL CHANGES</t>
  </si>
  <si>
    <t>ADD/LESS:CHANGES IN WORKING CAPITAL</t>
  </si>
  <si>
    <t>CASH FROM OPERATIONS</t>
  </si>
  <si>
    <t xml:space="preserve">INVESTING ACTIVITIES </t>
  </si>
  <si>
    <t>PURCHASE OF FIXED ASSET</t>
  </si>
  <si>
    <t>RENT DEPOSIT</t>
  </si>
  <si>
    <t>CASH FROM INVESTING ACTIVITIES</t>
  </si>
  <si>
    <t>FIINANCING ACTIVITIES</t>
  </si>
  <si>
    <t>EQUITY SHARE CAPITAL</t>
  </si>
  <si>
    <t xml:space="preserve">CASH FROM FINANCING ACTIVITIES </t>
  </si>
  <si>
    <t>CASH GENERATED DURING THE YEAR</t>
  </si>
  <si>
    <t>ADD: OPENING BALANCE</t>
  </si>
  <si>
    <t>EQUITY AND LIABILITY</t>
  </si>
  <si>
    <t>SHARE CAPITAL</t>
  </si>
  <si>
    <t>RESERVES AND SURPLUS</t>
  </si>
  <si>
    <t xml:space="preserve">TOTAL SHAREHOLDERS FUND  </t>
  </si>
  <si>
    <t>TOTAL CURRENT LIABILITIES</t>
  </si>
  <si>
    <t>TOTAL LIABILITIES</t>
  </si>
  <si>
    <t>ASSETS</t>
  </si>
  <si>
    <t>RENT DEPOSITS</t>
  </si>
  <si>
    <t>CASH AND CASH EQUIVALENTS</t>
  </si>
  <si>
    <t>TOTAL ASSETS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</si>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</sst>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[$-F800]dddd\,\ mmmm\ dd\,\ yyyy"/>
    <numFmt numFmtId="166" formatCode="&quot;MONTH&quot;\ 0"/>
    <numFmt numFmtId="167" formatCode="_ * #,##0.0_ ;_ * \-#,##0.0_ ;_ * &quot;-&quot;??_ ;_ @_ "/>
    <numFmt numFmtId="168" formatCode="_ * #,##0_ ;_ * \-#,##0_ ;_ * &quot;-&quot;??_ ;_ @_ "/>
    <numFmt numFmtId="169" formatCode="&quot;YEAR&quot;\ 0"/>
    <numFmt numFmtId="170" formatCode="0\ "/>
    <numFmt numFmtId="171" formatCode="_ * #,##0.0_ ;_ * \-#,##0.0_ ;_ * &quot;-&quot;?_ ;_ @_ "/>
    <numFmt numFmtId="173" formatCode="0.0%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i/>
      <sz val="9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15" fontId="5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5" fontId="5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5" xfId="0" applyBorder="1"/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5" fontId="5" fillId="0" borderId="7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5" fontId="5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9" fontId="0" fillId="0" borderId="12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9" fontId="0" fillId="0" borderId="14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9" fontId="0" fillId="0" borderId="13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3" fontId="0" fillId="5" borderId="14" xfId="0" applyNumberForma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3" fontId="0" fillId="5" borderId="12" xfId="0" applyNumberForma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3" fontId="0" fillId="5" borderId="13" xfId="0" applyNumberForma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9" fontId="1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7" fillId="0" borderId="0" xfId="0" applyFont="1" applyAlignment="1">
      <alignment vertical="center"/>
    </xf>
    <xf numFmtId="4" fontId="8" fillId="0" borderId="0" xfId="0" applyNumberFormat="1" applyFont="1" applyAlignment="1">
      <alignment horizontal="right" vertical="center"/>
    </xf>
    <xf numFmtId="0" fontId="8" fillId="0" borderId="0" xfId="0" applyFont="1"/>
    <xf numFmtId="9" fontId="8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9" fontId="0" fillId="0" borderId="14" xfId="0" applyNumberFormat="1" applyBorder="1" applyAlignment="1">
      <alignment horizontal="right" vertical="center"/>
    </xf>
    <xf numFmtId="9" fontId="0" fillId="0" borderId="13" xfId="0" applyNumberFormat="1" applyBorder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9" fontId="0" fillId="0" borderId="10" xfId="0" applyNumberFormat="1" applyBorder="1" applyAlignment="1">
      <alignment horizontal="right" vertical="center"/>
    </xf>
    <xf numFmtId="0" fontId="2" fillId="0" borderId="0" xfId="0" applyFont="1"/>
    <xf numFmtId="10" fontId="0" fillId="0" borderId="10" xfId="0" applyNumberFormat="1" applyBorder="1"/>
    <xf numFmtId="0" fontId="0" fillId="7" borderId="0" xfId="0" applyFill="1"/>
    <xf numFmtId="0" fontId="2" fillId="8" borderId="0" xfId="0" applyFont="1" applyFill="1"/>
    <xf numFmtId="43" fontId="0" fillId="0" borderId="0" xfId="1" applyFont="1"/>
    <xf numFmtId="0" fontId="0" fillId="9" borderId="0" xfId="0" applyFill="1"/>
    <xf numFmtId="0" fontId="3" fillId="0" borderId="0" xfId="0" applyFont="1"/>
    <xf numFmtId="165" fontId="0" fillId="0" borderId="0" xfId="0" applyNumberFormat="1"/>
    <xf numFmtId="0" fontId="11" fillId="10" borderId="0" xfId="0" applyFont="1" applyFill="1"/>
    <xf numFmtId="165" fontId="11" fillId="10" borderId="0" xfId="0" applyNumberFormat="1" applyFont="1" applyFill="1"/>
    <xf numFmtId="166" fontId="11" fillId="10" borderId="0" xfId="0" applyNumberFormat="1" applyFont="1" applyFill="1"/>
    <xf numFmtId="167" fontId="0" fillId="0" borderId="0" xfId="1" applyNumberFormat="1" applyFont="1"/>
    <xf numFmtId="168" fontId="0" fillId="0" borderId="0" xfId="1" applyNumberFormat="1" applyFont="1"/>
    <xf numFmtId="15" fontId="11" fillId="10" borderId="3" xfId="0" applyNumberFormat="1" applyFont="1" applyFill="1" applyBorder="1" applyAlignment="1">
      <alignment horizontal="center" vertical="center"/>
    </xf>
    <xf numFmtId="0" fontId="3" fillId="9" borderId="0" xfId="0" applyFont="1" applyFill="1"/>
    <xf numFmtId="169" fontId="11" fillId="10" borderId="0" xfId="0" applyNumberFormat="1" applyFont="1" applyFill="1"/>
    <xf numFmtId="1" fontId="0" fillId="0" borderId="0" xfId="1" applyNumberFormat="1" applyFont="1"/>
    <xf numFmtId="170" fontId="0" fillId="0" borderId="0" xfId="1" applyNumberFormat="1" applyFont="1"/>
    <xf numFmtId="168" fontId="2" fillId="0" borderId="0" xfId="0" applyNumberFormat="1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/>
    <xf numFmtId="168" fontId="2" fillId="0" borderId="16" xfId="1" applyNumberFormat="1" applyFont="1" applyBorder="1"/>
    <xf numFmtId="167" fontId="2" fillId="0" borderId="16" xfId="1" applyNumberFormat="1" applyFont="1" applyBorder="1"/>
    <xf numFmtId="168" fontId="2" fillId="0" borderId="16" xfId="0" applyNumberFormat="1" applyFont="1" applyBorder="1" applyAlignment="1">
      <alignment vertical="center"/>
    </xf>
    <xf numFmtId="168" fontId="2" fillId="0" borderId="16" xfId="0" applyNumberFormat="1" applyFont="1" applyBorder="1"/>
    <xf numFmtId="168" fontId="0" fillId="0" borderId="16" xfId="0" applyNumberFormat="1" applyBorder="1"/>
    <xf numFmtId="168" fontId="0" fillId="0" borderId="16" xfId="1" applyNumberFormat="1" applyFont="1" applyBorder="1"/>
    <xf numFmtId="0" fontId="2" fillId="2" borderId="0" xfId="0" applyFont="1" applyFill="1"/>
    <xf numFmtId="0" fontId="2" fillId="11" borderId="0" xfId="0" applyFont="1" applyFill="1"/>
    <xf numFmtId="168" fontId="0" fillId="0" borderId="0" xfId="0" applyNumberFormat="1"/>
    <xf numFmtId="168" fontId="2" fillId="0" borderId="0" xfId="1" applyNumberFormat="1" applyFont="1" applyBorder="1"/>
    <xf numFmtId="168" fontId="0" fillId="0" borderId="0" xfId="1" applyNumberFormat="1" applyFont="1" applyBorder="1"/>
    <xf numFmtId="0" fontId="0" fillId="0" borderId="16" xfId="0" applyBorder="1"/>
    <xf numFmtId="167" fontId="0" fillId="0" borderId="16" xfId="1" applyNumberFormat="1" applyFont="1" applyBorder="1"/>
    <xf numFmtId="0" fontId="2" fillId="0" borderId="17" xfId="0" applyFont="1" applyBorder="1" applyAlignment="1">
      <alignment vertical="center"/>
    </xf>
    <xf numFmtId="0" fontId="2" fillId="0" borderId="17" xfId="0" applyFont="1" applyBorder="1"/>
    <xf numFmtId="167" fontId="2" fillId="0" borderId="17" xfId="1" applyNumberFormat="1" applyFont="1" applyBorder="1"/>
    <xf numFmtId="0" fontId="0" fillId="12" borderId="0" xfId="0" applyFill="1"/>
    <xf numFmtId="167" fontId="0" fillId="12" borderId="0" xfId="1" applyNumberFormat="1" applyFont="1" applyFill="1"/>
    <xf numFmtId="0" fontId="2" fillId="12" borderId="0" xfId="0" applyFont="1" applyFill="1"/>
    <xf numFmtId="167" fontId="2" fillId="0" borderId="0" xfId="1" applyNumberFormat="1" applyFont="1" applyBorder="1"/>
    <xf numFmtId="0" fontId="2" fillId="0" borderId="18" xfId="0" applyFont="1" applyBorder="1" applyAlignment="1">
      <alignment vertical="center"/>
    </xf>
    <xf numFmtId="167" fontId="2" fillId="0" borderId="18" xfId="1" applyNumberFormat="1" applyFont="1" applyBorder="1"/>
    <xf numFmtId="0" fontId="2" fillId="0" borderId="18" xfId="0" applyFont="1" applyBorder="1"/>
    <xf numFmtId="171" fontId="0" fillId="0" borderId="0" xfId="0" applyNumberFormat="1"/>
    <xf numFmtId="9" fontId="0" fillId="0" borderId="0" xfId="2" applyFont="1"/>
    <xf numFmtId="167" fontId="2" fillId="0" borderId="16" xfId="0" applyNumberFormat="1" applyFont="1" applyBorder="1"/>
    <xf numFmtId="171" fontId="2" fillId="0" borderId="17" xfId="0" applyNumberFormat="1" applyFont="1" applyBorder="1"/>
    <xf numFmtId="166" fontId="11" fillId="0" borderId="0" xfId="0" applyNumberFormat="1" applyFont="1"/>
    <xf numFmtId="15" fontId="11" fillId="0" borderId="0" xfId="0" applyNumberFormat="1" applyFont="1" applyAlignment="1">
      <alignment horizontal="center" vertical="center"/>
    </xf>
    <xf numFmtId="167" fontId="2" fillId="0" borderId="18" xfId="0" applyNumberFormat="1" applyFont="1" applyBorder="1"/>
    <xf numFmtId="9" fontId="0" fillId="0" borderId="0" xfId="0" applyNumberFormat="1"/>
    <xf numFmtId="0" fontId="0" fillId="0" borderId="0" xfId="0" applyAlignment="1">
      <alignment horizontal="left" vertical="center"/>
    </xf>
    <xf numFmtId="0" fontId="0" fillId="13" borderId="0" xfId="0" applyFill="1"/>
    <xf numFmtId="0" fontId="2" fillId="13" borderId="0" xfId="0" applyFont="1" applyFill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 indent="2"/>
    </xf>
    <xf numFmtId="0" fontId="0" fillId="0" borderId="0" xfId="0" applyAlignment="1">
      <alignment horizontal="left" vertical="center" wrapText="1" indent="2"/>
    </xf>
    <xf numFmtId="0" fontId="0" fillId="0" borderId="5" xfId="0" applyBorder="1" applyAlignment="1">
      <alignment horizontal="left" vertical="center" wrapText="1" indent="2"/>
    </xf>
    <xf numFmtId="0" fontId="2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0" fillId="0" borderId="4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0" borderId="5" xfId="0" applyBorder="1" applyAlignment="1">
      <alignment horizontal="left" vertical="center" indent="2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67" fontId="2" fillId="0" borderId="0" xfId="1" applyNumberFormat="1" applyFont="1"/>
    <xf numFmtId="0" fontId="0" fillId="0" borderId="17" xfId="0" applyBorder="1"/>
    <xf numFmtId="167" fontId="0" fillId="0" borderId="17" xfId="1" applyNumberFormat="1" applyFont="1" applyBorder="1"/>
    <xf numFmtId="167" fontId="0" fillId="13" borderId="0" xfId="1" applyNumberFormat="1" applyFont="1" applyFill="1"/>
    <xf numFmtId="15" fontId="0" fillId="0" borderId="0" xfId="0" applyNumberFormat="1"/>
    <xf numFmtId="173" fontId="2" fillId="0" borderId="17" xfId="2" applyNumberFormat="1" applyFont="1" applyBorder="1"/>
    <xf numFmtId="0" fontId="0" fillId="0" borderId="0" xfId="0" applyAlignment="1"/>
    <xf numFmtId="167" fontId="3" fillId="0" borderId="0" xfId="1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63ED-E0B7-4B37-9717-BC4097B77EAE}">
  <dimension ref="A1:J107"/>
  <sheetViews>
    <sheetView topLeftCell="A92" workbookViewId="0">
      <selection activeCell="A83" sqref="A83:F83"/>
    </sheetView>
  </sheetViews>
  <sheetFormatPr defaultColWidth="8.88671875" defaultRowHeight="14.4" x14ac:dyDescent="0.3"/>
  <cols>
    <col min="1" max="1" width="32" style="87" bestFit="1" customWidth="1"/>
    <col min="2" max="2" width="9.21875" customWidth="1"/>
    <col min="3" max="3" width="9" bestFit="1" customWidth="1"/>
    <col min="4" max="4" width="10.77734375" bestFit="1" customWidth="1"/>
    <col min="5" max="5" width="30.77734375" bestFit="1" customWidth="1"/>
    <col min="6" max="6" width="11.5546875" customWidth="1"/>
    <col min="7" max="7" width="13.88671875" style="2" bestFit="1" customWidth="1"/>
  </cols>
  <sheetData>
    <row r="1" spans="1:7" x14ac:dyDescent="0.3">
      <c r="A1" s="145" t="s">
        <v>0</v>
      </c>
      <c r="B1" s="145"/>
      <c r="C1" s="145"/>
      <c r="D1" s="145"/>
      <c r="E1" s="145"/>
      <c r="F1" s="145"/>
      <c r="G1" s="145"/>
    </row>
    <row r="2" spans="1:7" ht="15" thickBot="1" x14ac:dyDescent="0.35">
      <c r="A2" s="1"/>
    </row>
    <row r="3" spans="1:7" x14ac:dyDescent="0.3">
      <c r="A3" s="3" t="s">
        <v>1</v>
      </c>
      <c r="B3" s="4"/>
      <c r="C3" s="5"/>
      <c r="D3" s="5"/>
      <c r="E3" s="5"/>
      <c r="F3" s="6"/>
      <c r="G3" s="7">
        <v>43922</v>
      </c>
    </row>
    <row r="4" spans="1:7" x14ac:dyDescent="0.3">
      <c r="A4" s="8" t="s">
        <v>2</v>
      </c>
      <c r="B4" s="9"/>
      <c r="F4" s="10"/>
      <c r="G4" s="11" t="s">
        <v>3</v>
      </c>
    </row>
    <row r="5" spans="1:7" ht="15" thickBot="1" x14ac:dyDescent="0.35">
      <c r="A5" s="12" t="s">
        <v>4</v>
      </c>
      <c r="B5" s="13"/>
      <c r="C5" s="14"/>
      <c r="D5" s="14"/>
      <c r="E5" s="14"/>
      <c r="F5" s="15"/>
      <c r="G5" s="16">
        <f>EOMONTH(G3,2)+1</f>
        <v>44013</v>
      </c>
    </row>
    <row r="6" spans="1:7" x14ac:dyDescent="0.3">
      <c r="A6" s="145" t="s">
        <v>5</v>
      </c>
      <c r="B6" s="145"/>
      <c r="C6" s="145"/>
      <c r="D6" s="145"/>
      <c r="E6" s="145"/>
      <c r="F6" s="145"/>
      <c r="G6" s="145"/>
    </row>
    <row r="7" spans="1:7" ht="15" thickBot="1" x14ac:dyDescent="0.35">
      <c r="A7" s="17"/>
      <c r="B7" s="17"/>
      <c r="C7" s="17"/>
      <c r="D7" s="17"/>
      <c r="E7" s="17"/>
      <c r="F7" s="17"/>
      <c r="G7" s="17"/>
    </row>
    <row r="8" spans="1:7" ht="15" thickBot="1" x14ac:dyDescent="0.35">
      <c r="A8" s="18" t="s">
        <v>6</v>
      </c>
      <c r="B8" s="19" t="s">
        <v>7</v>
      </c>
      <c r="C8" s="20" t="s">
        <v>8</v>
      </c>
      <c r="E8" s="18" t="s">
        <v>6</v>
      </c>
      <c r="F8" s="19" t="s">
        <v>7</v>
      </c>
      <c r="G8" s="21" t="s">
        <v>8</v>
      </c>
    </row>
    <row r="9" spans="1:7" x14ac:dyDescent="0.3">
      <c r="A9" s="22" t="s">
        <v>9</v>
      </c>
      <c r="B9" s="23"/>
      <c r="C9" s="24"/>
      <c r="E9" s="25" t="s">
        <v>10</v>
      </c>
      <c r="F9" s="23"/>
      <c r="G9" s="24"/>
    </row>
    <row r="10" spans="1:7" x14ac:dyDescent="0.3">
      <c r="A10" s="26" t="s">
        <v>11</v>
      </c>
      <c r="B10" s="27">
        <f>SUBTOTAL(9,B11:B13)</f>
        <v>1500</v>
      </c>
      <c r="C10" s="27">
        <f>SUBTOTAL(9,C11:C13)</f>
        <v>1700</v>
      </c>
      <c r="E10" s="26" t="s">
        <v>11</v>
      </c>
      <c r="F10" s="27">
        <f>SUBTOTAL(9,F11:F13)</f>
        <v>1600</v>
      </c>
      <c r="G10" s="27">
        <f>SUBTOTAL(9,G11:G13)</f>
        <v>1900</v>
      </c>
    </row>
    <row r="11" spans="1:7" x14ac:dyDescent="0.3">
      <c r="A11" s="28" t="s">
        <v>12</v>
      </c>
      <c r="B11" s="29">
        <v>300</v>
      </c>
      <c r="C11" s="30">
        <v>500</v>
      </c>
      <c r="E11" s="31" t="s">
        <v>12</v>
      </c>
      <c r="F11" s="29">
        <v>400</v>
      </c>
      <c r="G11" s="30">
        <v>650</v>
      </c>
    </row>
    <row r="12" spans="1:7" x14ac:dyDescent="0.3">
      <c r="A12" s="28" t="s">
        <v>13</v>
      </c>
      <c r="B12" s="29">
        <v>200</v>
      </c>
      <c r="C12" s="30">
        <v>200</v>
      </c>
      <c r="E12" s="31" t="s">
        <v>13</v>
      </c>
      <c r="F12" s="29">
        <v>200</v>
      </c>
      <c r="G12" s="30">
        <v>250</v>
      </c>
    </row>
    <row r="13" spans="1:7" x14ac:dyDescent="0.3">
      <c r="A13" s="28" t="s">
        <v>14</v>
      </c>
      <c r="B13" s="29">
        <v>1000</v>
      </c>
      <c r="C13" s="30">
        <v>1000</v>
      </c>
      <c r="E13" s="31" t="s">
        <v>14</v>
      </c>
      <c r="F13" s="29">
        <v>1000</v>
      </c>
      <c r="G13" s="30">
        <v>1000</v>
      </c>
    </row>
    <row r="14" spans="1:7" x14ac:dyDescent="0.3">
      <c r="A14" s="28" t="s">
        <v>15</v>
      </c>
      <c r="B14" s="32">
        <v>0.05</v>
      </c>
      <c r="C14" s="33">
        <v>0.05</v>
      </c>
      <c r="E14" s="31" t="s">
        <v>16</v>
      </c>
      <c r="F14" s="32">
        <v>0.05</v>
      </c>
      <c r="G14" s="33">
        <v>0.05</v>
      </c>
    </row>
    <row r="15" spans="1:7" x14ac:dyDescent="0.3">
      <c r="A15" s="28"/>
      <c r="B15" s="23"/>
      <c r="C15" s="24"/>
      <c r="E15" s="31"/>
      <c r="F15" s="23"/>
      <c r="G15" s="24"/>
    </row>
    <row r="16" spans="1:7" x14ac:dyDescent="0.3">
      <c r="A16" s="28" t="s">
        <v>17</v>
      </c>
      <c r="B16" s="23"/>
      <c r="C16" s="24"/>
      <c r="E16" s="28" t="s">
        <v>17</v>
      </c>
      <c r="F16" s="23"/>
      <c r="G16" s="24"/>
    </row>
    <row r="17" spans="1:7" x14ac:dyDescent="0.3">
      <c r="A17" s="28" t="s">
        <v>18</v>
      </c>
      <c r="B17" s="23">
        <v>100</v>
      </c>
      <c r="C17" s="24">
        <v>100</v>
      </c>
      <c r="E17" s="31" t="s">
        <v>18</v>
      </c>
      <c r="F17" s="23">
        <v>100</v>
      </c>
      <c r="G17" s="24">
        <v>100</v>
      </c>
    </row>
    <row r="18" spans="1:7" x14ac:dyDescent="0.3">
      <c r="A18" s="28" t="s">
        <v>19</v>
      </c>
      <c r="B18" s="23">
        <v>2</v>
      </c>
      <c r="C18" s="24">
        <v>2</v>
      </c>
      <c r="E18" s="31" t="s">
        <v>19</v>
      </c>
      <c r="F18" s="23">
        <v>2</v>
      </c>
      <c r="G18" s="24">
        <v>2</v>
      </c>
    </row>
    <row r="19" spans="1:7" x14ac:dyDescent="0.3">
      <c r="A19" s="28" t="s">
        <v>20</v>
      </c>
      <c r="B19" s="34">
        <v>10</v>
      </c>
      <c r="C19" s="35">
        <v>13</v>
      </c>
      <c r="E19" s="31" t="s">
        <v>20</v>
      </c>
      <c r="F19" s="34">
        <v>13</v>
      </c>
      <c r="G19" s="35">
        <v>15</v>
      </c>
    </row>
    <row r="20" spans="1:7" x14ac:dyDescent="0.3">
      <c r="A20" s="28" t="s">
        <v>21</v>
      </c>
      <c r="B20" s="32">
        <v>0.02</v>
      </c>
      <c r="C20" s="33">
        <v>0.04</v>
      </c>
      <c r="E20" s="31" t="s">
        <v>21</v>
      </c>
      <c r="F20" s="32">
        <v>0.02</v>
      </c>
      <c r="G20" s="33">
        <v>0.04</v>
      </c>
    </row>
    <row r="21" spans="1:7" ht="15" thickBot="1" x14ac:dyDescent="0.35">
      <c r="A21" s="36" t="s">
        <v>22</v>
      </c>
      <c r="B21" s="37">
        <v>60</v>
      </c>
      <c r="C21" s="38">
        <v>80</v>
      </c>
      <c r="E21" s="39" t="s">
        <v>22</v>
      </c>
      <c r="F21" s="37">
        <v>70</v>
      </c>
      <c r="G21" s="38">
        <v>90</v>
      </c>
    </row>
    <row r="24" spans="1:7" ht="15" thickBot="1" x14ac:dyDescent="0.35">
      <c r="A24" s="146" t="s">
        <v>23</v>
      </c>
      <c r="B24" s="145"/>
      <c r="C24" s="145"/>
      <c r="D24" s="145"/>
      <c r="E24" s="145"/>
      <c r="F24" s="145"/>
      <c r="G24" s="145"/>
    </row>
    <row r="25" spans="1:7" x14ac:dyDescent="0.3">
      <c r="A25" s="147" t="s">
        <v>24</v>
      </c>
      <c r="B25" s="148"/>
      <c r="C25" s="148"/>
      <c r="D25" s="148"/>
      <c r="E25" s="148"/>
      <c r="F25" s="148"/>
      <c r="G25" s="40">
        <v>0.35</v>
      </c>
    </row>
    <row r="26" spans="1:7" x14ac:dyDescent="0.3">
      <c r="A26" s="149" t="s">
        <v>25</v>
      </c>
      <c r="B26" s="150"/>
      <c r="C26" s="150"/>
      <c r="D26" s="150"/>
      <c r="E26" s="150"/>
      <c r="F26" s="150"/>
      <c r="G26" s="32">
        <v>0.4</v>
      </c>
    </row>
    <row r="27" spans="1:7" ht="15" thickBot="1" x14ac:dyDescent="0.35">
      <c r="A27" s="151" t="s">
        <v>26</v>
      </c>
      <c r="B27" s="152"/>
      <c r="C27" s="152"/>
      <c r="D27" s="152"/>
      <c r="E27" s="152"/>
      <c r="F27" s="152"/>
      <c r="G27" s="42">
        <v>0.3</v>
      </c>
    </row>
    <row r="28" spans="1:7" x14ac:dyDescent="0.3">
      <c r="A28"/>
      <c r="G28"/>
    </row>
    <row r="29" spans="1:7" ht="15" thickBot="1" x14ac:dyDescent="0.35">
      <c r="A29" s="151" t="s">
        <v>27</v>
      </c>
      <c r="B29" s="152"/>
      <c r="C29" s="152"/>
      <c r="D29" s="152"/>
      <c r="E29" s="152"/>
      <c r="F29" s="152"/>
      <c r="G29" s="152"/>
    </row>
    <row r="30" spans="1:7" ht="15" thickBot="1" x14ac:dyDescent="0.35">
      <c r="A30" s="147" t="s">
        <v>28</v>
      </c>
      <c r="B30" s="148"/>
      <c r="C30" s="148"/>
      <c r="D30" s="153"/>
      <c r="E30" s="43" t="s">
        <v>29</v>
      </c>
      <c r="F30" s="44" t="s">
        <v>30</v>
      </c>
      <c r="G30" s="45" t="s">
        <v>30</v>
      </c>
    </row>
    <row r="31" spans="1:7" x14ac:dyDescent="0.3">
      <c r="A31" s="154" t="s">
        <v>31</v>
      </c>
      <c r="B31" s="155"/>
      <c r="C31" s="155"/>
      <c r="D31" s="156"/>
      <c r="E31" s="46">
        <v>2</v>
      </c>
      <c r="F31" s="47">
        <v>20000</v>
      </c>
      <c r="G31" s="48">
        <v>40000</v>
      </c>
    </row>
    <row r="32" spans="1:7" x14ac:dyDescent="0.3">
      <c r="A32" s="142" t="s">
        <v>32</v>
      </c>
      <c r="B32" s="143"/>
      <c r="C32" s="143"/>
      <c r="D32" s="144"/>
      <c r="E32" s="49">
        <v>2</v>
      </c>
      <c r="F32" s="23">
        <v>50000</v>
      </c>
      <c r="G32" s="50">
        <v>100000</v>
      </c>
    </row>
    <row r="33" spans="1:7" x14ac:dyDescent="0.3">
      <c r="A33" s="142" t="s">
        <v>33</v>
      </c>
      <c r="B33" s="143"/>
      <c r="C33" s="143"/>
      <c r="D33" s="144"/>
      <c r="E33" s="49">
        <v>10</v>
      </c>
      <c r="F33" s="23">
        <v>20000</v>
      </c>
      <c r="G33" s="50">
        <v>200000</v>
      </c>
    </row>
    <row r="34" spans="1:7" x14ac:dyDescent="0.3">
      <c r="A34" s="142" t="s">
        <v>34</v>
      </c>
      <c r="B34" s="143"/>
      <c r="C34" s="143"/>
      <c r="D34" s="144"/>
      <c r="E34" s="49">
        <v>1</v>
      </c>
      <c r="F34" s="23">
        <v>100000</v>
      </c>
      <c r="G34" s="50">
        <v>100000</v>
      </c>
    </row>
    <row r="35" spans="1:7" x14ac:dyDescent="0.3">
      <c r="A35" s="142" t="s">
        <v>35</v>
      </c>
      <c r="B35" s="143"/>
      <c r="C35" s="143"/>
      <c r="D35" s="144"/>
      <c r="E35" s="49">
        <v>2</v>
      </c>
      <c r="F35" s="23">
        <v>75000</v>
      </c>
      <c r="G35" s="50">
        <v>150000</v>
      </c>
    </row>
    <row r="36" spans="1:7" x14ac:dyDescent="0.3">
      <c r="A36" s="142" t="s">
        <v>36</v>
      </c>
      <c r="B36" s="143"/>
      <c r="C36" s="143"/>
      <c r="D36" s="144"/>
      <c r="E36" s="49">
        <v>6</v>
      </c>
      <c r="F36" s="23">
        <v>30000</v>
      </c>
      <c r="G36" s="50">
        <v>180000</v>
      </c>
    </row>
    <row r="37" spans="1:7" x14ac:dyDescent="0.3">
      <c r="A37" s="142" t="s">
        <v>37</v>
      </c>
      <c r="B37" s="143"/>
      <c r="C37" s="143"/>
      <c r="D37" s="144"/>
      <c r="E37" s="49">
        <v>3</v>
      </c>
      <c r="F37" s="23">
        <v>17000</v>
      </c>
      <c r="G37" s="50">
        <v>51000</v>
      </c>
    </row>
    <row r="38" spans="1:7" x14ac:dyDescent="0.3">
      <c r="A38" s="142" t="s">
        <v>38</v>
      </c>
      <c r="B38" s="143"/>
      <c r="C38" s="143"/>
      <c r="D38" s="144"/>
      <c r="E38" s="49">
        <v>5</v>
      </c>
      <c r="F38" s="23">
        <v>17000</v>
      </c>
      <c r="G38" s="50">
        <v>85000</v>
      </c>
    </row>
    <row r="39" spans="1:7" ht="15" thickBot="1" x14ac:dyDescent="0.35">
      <c r="A39" s="157" t="s">
        <v>39</v>
      </c>
      <c r="B39" s="158"/>
      <c r="C39" s="158"/>
      <c r="D39" s="159"/>
      <c r="E39" s="51">
        <v>4</v>
      </c>
      <c r="F39" s="37">
        <v>20000</v>
      </c>
      <c r="G39" s="52">
        <v>80000</v>
      </c>
    </row>
    <row r="40" spans="1:7" ht="15" thickBot="1" x14ac:dyDescent="0.35">
      <c r="A40" s="160" t="s">
        <v>40</v>
      </c>
      <c r="B40" s="161"/>
      <c r="C40" s="161"/>
      <c r="D40" s="161"/>
      <c r="E40" s="162"/>
      <c r="F40" s="37"/>
      <c r="G40" s="52">
        <f>SUM(G31:G39)</f>
        <v>986000</v>
      </c>
    </row>
    <row r="41" spans="1:7" x14ac:dyDescent="0.3">
      <c r="A41" s="53" t="s">
        <v>41</v>
      </c>
      <c r="G41" s="54">
        <v>0.08</v>
      </c>
    </row>
    <row r="42" spans="1:7" ht="15" thickBot="1" x14ac:dyDescent="0.35">
      <c r="A42" s="145" t="s">
        <v>42</v>
      </c>
      <c r="B42" s="145"/>
      <c r="C42" s="145"/>
      <c r="D42" s="145"/>
      <c r="E42" s="145"/>
      <c r="F42" s="145"/>
      <c r="G42" s="145"/>
    </row>
    <row r="43" spans="1:7" ht="15" thickBot="1" x14ac:dyDescent="0.35">
      <c r="A43" s="147" t="s">
        <v>28</v>
      </c>
      <c r="B43" s="148"/>
      <c r="C43" s="148"/>
      <c r="D43" s="153"/>
      <c r="E43" s="43" t="s">
        <v>29</v>
      </c>
      <c r="F43" s="44" t="s">
        <v>30</v>
      </c>
      <c r="G43" s="55" t="s">
        <v>30</v>
      </c>
    </row>
    <row r="44" spans="1:7" x14ac:dyDescent="0.3">
      <c r="A44" s="154" t="s">
        <v>43</v>
      </c>
      <c r="B44" s="155"/>
      <c r="C44" s="155"/>
      <c r="D44" s="155"/>
      <c r="E44" s="56">
        <v>1</v>
      </c>
      <c r="F44" s="47">
        <v>50000</v>
      </c>
      <c r="G44" s="57">
        <v>50000</v>
      </c>
    </row>
    <row r="45" spans="1:7" x14ac:dyDescent="0.3">
      <c r="A45" s="142" t="s">
        <v>44</v>
      </c>
      <c r="B45" s="143"/>
      <c r="C45" s="143"/>
      <c r="D45" s="143"/>
      <c r="E45" s="49">
        <v>2</v>
      </c>
      <c r="F45" s="23">
        <v>35000</v>
      </c>
      <c r="G45" s="58">
        <v>70000</v>
      </c>
    </row>
    <row r="46" spans="1:7" x14ac:dyDescent="0.3">
      <c r="A46" s="142" t="s">
        <v>45</v>
      </c>
      <c r="B46" s="143"/>
      <c r="C46" s="143"/>
      <c r="D46" s="143"/>
      <c r="E46" s="49">
        <v>2</v>
      </c>
      <c r="F46" s="23">
        <v>20000</v>
      </c>
      <c r="G46" s="58">
        <v>40000</v>
      </c>
    </row>
    <row r="47" spans="1:7" x14ac:dyDescent="0.3">
      <c r="A47" s="142" t="s">
        <v>46</v>
      </c>
      <c r="B47" s="143"/>
      <c r="C47" s="143"/>
      <c r="D47" s="143"/>
      <c r="E47" s="49">
        <v>2</v>
      </c>
      <c r="F47" s="23">
        <v>40000</v>
      </c>
      <c r="G47" s="58">
        <v>80000</v>
      </c>
    </row>
    <row r="48" spans="1:7" x14ac:dyDescent="0.3">
      <c r="A48" s="142" t="s">
        <v>47</v>
      </c>
      <c r="B48" s="143"/>
      <c r="C48" s="143"/>
      <c r="D48" s="143"/>
      <c r="E48" s="49">
        <v>2</v>
      </c>
      <c r="F48" s="23">
        <v>40000</v>
      </c>
      <c r="G48" s="58">
        <v>80000</v>
      </c>
    </row>
    <row r="49" spans="1:7" ht="15" thickBot="1" x14ac:dyDescent="0.35">
      <c r="A49" s="142" t="s">
        <v>48</v>
      </c>
      <c r="B49" s="143"/>
      <c r="C49" s="143"/>
      <c r="D49" s="143"/>
      <c r="E49" s="49">
        <v>2</v>
      </c>
      <c r="F49" s="23">
        <v>30000</v>
      </c>
      <c r="G49" s="58">
        <v>60000</v>
      </c>
    </row>
    <row r="50" spans="1:7" ht="15" thickBot="1" x14ac:dyDescent="0.35">
      <c r="A50" s="163" t="s">
        <v>40</v>
      </c>
      <c r="B50" s="164"/>
      <c r="C50" s="164"/>
      <c r="D50" s="164"/>
      <c r="E50" s="165"/>
      <c r="F50" s="59"/>
      <c r="G50" s="60">
        <f>SUM(G44:G49)</f>
        <v>380000</v>
      </c>
    </row>
    <row r="51" spans="1:7" ht="15" thickBot="1" x14ac:dyDescent="0.35">
      <c r="A51" s="61"/>
      <c r="B51" s="62"/>
      <c r="C51" s="61"/>
      <c r="D51" s="61"/>
      <c r="E51" s="61"/>
      <c r="F51" s="62"/>
      <c r="G51" s="63"/>
    </row>
    <row r="52" spans="1:7" x14ac:dyDescent="0.3">
      <c r="A52" s="154" t="s">
        <v>49</v>
      </c>
      <c r="B52" s="155"/>
      <c r="C52" s="155"/>
      <c r="D52" s="155"/>
      <c r="E52" s="155"/>
      <c r="F52" s="156"/>
      <c r="G52" s="40">
        <v>0.05</v>
      </c>
    </row>
    <row r="53" spans="1:7" x14ac:dyDescent="0.3">
      <c r="A53" s="142" t="s">
        <v>50</v>
      </c>
      <c r="B53" s="143"/>
      <c r="C53" s="143"/>
      <c r="D53" s="143"/>
      <c r="E53" s="143"/>
      <c r="F53" s="144"/>
      <c r="G53" s="32">
        <v>0.1</v>
      </c>
    </row>
    <row r="54" spans="1:7" x14ac:dyDescent="0.3">
      <c r="A54" s="142" t="s">
        <v>51</v>
      </c>
      <c r="B54" s="143"/>
      <c r="C54" s="143"/>
      <c r="D54" s="143"/>
      <c r="E54" s="143"/>
      <c r="F54" s="144"/>
      <c r="G54" s="64">
        <v>10000</v>
      </c>
    </row>
    <row r="55" spans="1:7" x14ac:dyDescent="0.3">
      <c r="A55" s="142" t="s">
        <v>52</v>
      </c>
      <c r="B55" s="143"/>
      <c r="C55" s="143"/>
      <c r="D55" s="143"/>
      <c r="E55" s="143"/>
      <c r="F55" s="144"/>
      <c r="G55" s="64">
        <v>50000</v>
      </c>
    </row>
    <row r="56" spans="1:7" x14ac:dyDescent="0.3">
      <c r="A56" s="142" t="s">
        <v>53</v>
      </c>
      <c r="B56" s="143"/>
      <c r="C56" s="143"/>
      <c r="D56" s="143"/>
      <c r="E56" s="143"/>
      <c r="F56" s="144"/>
      <c r="G56" s="29">
        <v>25000</v>
      </c>
    </row>
    <row r="57" spans="1:7" x14ac:dyDescent="0.3">
      <c r="A57" s="142" t="s">
        <v>54</v>
      </c>
      <c r="B57" s="143"/>
      <c r="C57" s="143"/>
      <c r="D57" s="143"/>
      <c r="E57" s="143"/>
      <c r="F57" s="144"/>
      <c r="G57" s="23">
        <v>5</v>
      </c>
    </row>
    <row r="58" spans="1:7" x14ac:dyDescent="0.3">
      <c r="A58" s="142" t="s">
        <v>55</v>
      </c>
      <c r="B58" s="143"/>
      <c r="C58" s="143"/>
      <c r="D58" s="143"/>
      <c r="E58" s="143"/>
      <c r="F58" s="144"/>
      <c r="G58" s="65">
        <v>15000</v>
      </c>
    </row>
    <row r="59" spans="1:7" x14ac:dyDescent="0.3">
      <c r="A59" s="142" t="s">
        <v>56</v>
      </c>
      <c r="B59" s="143"/>
      <c r="C59" s="143"/>
      <c r="D59" s="143"/>
      <c r="E59" s="143"/>
      <c r="F59" s="144"/>
      <c r="G59" s="32">
        <v>0.02</v>
      </c>
    </row>
    <row r="60" spans="1:7" x14ac:dyDescent="0.3">
      <c r="A60" s="142" t="s">
        <v>57</v>
      </c>
      <c r="B60" s="143"/>
      <c r="C60" s="143"/>
      <c r="D60" s="143"/>
      <c r="E60" s="143"/>
      <c r="F60" s="144"/>
      <c r="G60" s="66">
        <v>1.4999999999999999E-2</v>
      </c>
    </row>
    <row r="61" spans="1:7" ht="15" thickBot="1" x14ac:dyDescent="0.35">
      <c r="A61" s="157" t="s">
        <v>58</v>
      </c>
      <c r="B61" s="158"/>
      <c r="C61" s="158"/>
      <c r="D61" s="158"/>
      <c r="E61" s="158"/>
      <c r="F61" s="159"/>
      <c r="G61" s="42">
        <v>0.5</v>
      </c>
    </row>
    <row r="62" spans="1:7" x14ac:dyDescent="0.3">
      <c r="A62" s="67" t="s">
        <v>59</v>
      </c>
      <c r="B62" s="68"/>
      <c r="C62" s="69"/>
      <c r="D62" s="69"/>
      <c r="E62" s="69"/>
      <c r="F62" s="69"/>
      <c r="G62" s="70">
        <v>0.08</v>
      </c>
    </row>
    <row r="63" spans="1:7" x14ac:dyDescent="0.3">
      <c r="A63" s="71"/>
      <c r="B63" s="72"/>
    </row>
    <row r="64" spans="1:7" ht="15" thickBot="1" x14ac:dyDescent="0.35">
      <c r="A64" s="166" t="s">
        <v>60</v>
      </c>
      <c r="B64" s="166"/>
      <c r="C64" s="166"/>
      <c r="D64" s="166"/>
      <c r="E64" s="166"/>
      <c r="F64" s="166"/>
      <c r="G64" s="166"/>
    </row>
    <row r="65" spans="1:10" x14ac:dyDescent="0.3">
      <c r="A65" s="154" t="s">
        <v>61</v>
      </c>
      <c r="B65" s="155"/>
      <c r="C65" s="155"/>
      <c r="D65" s="155"/>
      <c r="E65" s="155"/>
      <c r="F65" s="156"/>
      <c r="G65" s="47">
        <v>4000</v>
      </c>
    </row>
    <row r="66" spans="1:10" x14ac:dyDescent="0.3">
      <c r="A66" s="142" t="s">
        <v>62</v>
      </c>
      <c r="B66" s="143"/>
      <c r="C66" s="143"/>
      <c r="D66" s="143"/>
      <c r="E66" s="143"/>
      <c r="F66" s="144"/>
      <c r="G66" s="23">
        <v>1.33</v>
      </c>
      <c r="J66">
        <f>G67*G57</f>
        <v>26600</v>
      </c>
    </row>
    <row r="67" spans="1:10" x14ac:dyDescent="0.3">
      <c r="A67" s="142" t="s">
        <v>63</v>
      </c>
      <c r="B67" s="143"/>
      <c r="C67" s="143"/>
      <c r="D67" s="143"/>
      <c r="E67" s="143"/>
      <c r="F67" s="144"/>
      <c r="G67" s="23">
        <f>G65*G66</f>
        <v>5320</v>
      </c>
    </row>
    <row r="68" spans="1:10" x14ac:dyDescent="0.3">
      <c r="A68" s="142" t="s">
        <v>64</v>
      </c>
      <c r="B68" s="143"/>
      <c r="C68" s="143"/>
      <c r="D68" s="143"/>
      <c r="E68" s="143"/>
      <c r="F68" s="144"/>
      <c r="G68" s="32">
        <v>0.75</v>
      </c>
    </row>
    <row r="69" spans="1:10" x14ac:dyDescent="0.3">
      <c r="A69" s="142" t="s">
        <v>65</v>
      </c>
      <c r="B69" s="143"/>
      <c r="C69" s="143"/>
      <c r="D69" s="143"/>
      <c r="E69" s="143"/>
      <c r="F69" s="144"/>
      <c r="G69" s="23">
        <v>3000</v>
      </c>
    </row>
    <row r="70" spans="1:10" x14ac:dyDescent="0.3">
      <c r="A70" s="142" t="s">
        <v>66</v>
      </c>
      <c r="B70" s="143"/>
      <c r="C70" s="143"/>
      <c r="D70" s="143"/>
      <c r="E70" s="143"/>
      <c r="F70" s="144"/>
      <c r="G70" s="23">
        <v>1000</v>
      </c>
    </row>
    <row r="71" spans="1:10" x14ac:dyDescent="0.3">
      <c r="A71" s="142" t="s">
        <v>67</v>
      </c>
      <c r="B71" s="143"/>
      <c r="C71" s="143"/>
      <c r="D71" s="143"/>
      <c r="E71" s="143"/>
      <c r="F71" s="144"/>
      <c r="G71" s="23">
        <v>25</v>
      </c>
    </row>
    <row r="72" spans="1:10" x14ac:dyDescent="0.3">
      <c r="A72" s="142" t="s">
        <v>68</v>
      </c>
      <c r="B72" s="143"/>
      <c r="C72" s="143"/>
      <c r="D72" s="143"/>
      <c r="E72" s="143"/>
      <c r="F72" s="144"/>
      <c r="G72" s="23">
        <v>100</v>
      </c>
    </row>
    <row r="73" spans="1:10" x14ac:dyDescent="0.3">
      <c r="A73" s="142" t="s">
        <v>69</v>
      </c>
      <c r="B73" s="143"/>
      <c r="C73" s="143"/>
      <c r="D73" s="143"/>
      <c r="E73" s="143"/>
      <c r="F73" s="144"/>
      <c r="G73" s="23">
        <v>4</v>
      </c>
    </row>
    <row r="74" spans="1:10" ht="15" thickBot="1" x14ac:dyDescent="0.35">
      <c r="A74" s="157" t="s">
        <v>70</v>
      </c>
      <c r="B74" s="158"/>
      <c r="C74" s="158"/>
      <c r="D74" s="158"/>
      <c r="E74" s="158"/>
      <c r="F74" s="159"/>
      <c r="G74" s="37">
        <v>30</v>
      </c>
    </row>
    <row r="75" spans="1:10" x14ac:dyDescent="0.3">
      <c r="A75" s="149"/>
      <c r="B75" s="150"/>
      <c r="C75" s="150"/>
      <c r="D75" s="150"/>
      <c r="E75" s="150"/>
      <c r="F75" s="150"/>
      <c r="G75" s="73"/>
    </row>
    <row r="77" spans="1:10" ht="15" thickBot="1" x14ac:dyDescent="0.35">
      <c r="A77" s="146" t="s">
        <v>71</v>
      </c>
      <c r="B77" s="145"/>
      <c r="C77" s="145"/>
      <c r="D77" s="145"/>
      <c r="E77" s="145"/>
      <c r="F77" s="145"/>
      <c r="G77" s="145"/>
    </row>
    <row r="78" spans="1:10" ht="15" thickBot="1" x14ac:dyDescent="0.35">
      <c r="A78" s="170" t="s">
        <v>72</v>
      </c>
      <c r="B78" s="171"/>
      <c r="C78" s="171"/>
      <c r="D78" s="171"/>
      <c r="E78" s="171"/>
      <c r="F78" s="172"/>
      <c r="G78" s="74" t="s">
        <v>73</v>
      </c>
    </row>
    <row r="79" spans="1:10" x14ac:dyDescent="0.3">
      <c r="A79" s="142" t="s">
        <v>74</v>
      </c>
      <c r="B79" s="143"/>
      <c r="C79" s="143"/>
      <c r="D79" s="143"/>
      <c r="E79" s="143"/>
      <c r="F79" s="144"/>
      <c r="G79" s="64">
        <v>3000</v>
      </c>
    </row>
    <row r="80" spans="1:10" x14ac:dyDescent="0.3">
      <c r="A80" s="142" t="s">
        <v>75</v>
      </c>
      <c r="B80" s="143"/>
      <c r="C80" s="143"/>
      <c r="D80" s="143"/>
      <c r="E80" s="143"/>
      <c r="F80" s="144"/>
      <c r="G80" s="64">
        <v>5000</v>
      </c>
    </row>
    <row r="81" spans="1:7" x14ac:dyDescent="0.3">
      <c r="A81" s="142" t="s">
        <v>76</v>
      </c>
      <c r="B81" s="143"/>
      <c r="C81" s="143"/>
      <c r="D81" s="143"/>
      <c r="E81" s="143"/>
      <c r="F81" s="144"/>
      <c r="G81" s="64">
        <v>1700</v>
      </c>
    </row>
    <row r="82" spans="1:7" x14ac:dyDescent="0.3">
      <c r="A82" s="142" t="s">
        <v>77</v>
      </c>
      <c r="B82" s="143"/>
      <c r="C82" s="143"/>
      <c r="D82" s="143"/>
      <c r="E82" s="143"/>
      <c r="F82" s="144"/>
      <c r="G82" s="64">
        <v>2000</v>
      </c>
    </row>
    <row r="83" spans="1:7" ht="15" thickBot="1" x14ac:dyDescent="0.35">
      <c r="A83" s="157" t="s">
        <v>78</v>
      </c>
      <c r="B83" s="158"/>
      <c r="C83" s="158"/>
      <c r="D83" s="158"/>
      <c r="E83" s="158"/>
      <c r="F83" s="159"/>
      <c r="G83" s="75">
        <v>1000000</v>
      </c>
    </row>
    <row r="85" spans="1:7" ht="15" thickBot="1" x14ac:dyDescent="0.35">
      <c r="A85" s="166" t="s">
        <v>79</v>
      </c>
      <c r="B85" s="166"/>
      <c r="C85" s="166"/>
      <c r="D85" s="166"/>
      <c r="E85" s="166"/>
      <c r="F85" s="166"/>
      <c r="G85" s="166"/>
    </row>
    <row r="86" spans="1:7" ht="15" thickBot="1" x14ac:dyDescent="0.35">
      <c r="A86" s="173"/>
      <c r="B86" s="174"/>
      <c r="C86" s="174"/>
      <c r="D86" s="174"/>
      <c r="E86" s="174"/>
      <c r="F86" s="175"/>
      <c r="G86" s="76" t="s">
        <v>80</v>
      </c>
    </row>
    <row r="87" spans="1:7" ht="15" thickBot="1" x14ac:dyDescent="0.35">
      <c r="A87" s="77" t="s">
        <v>81</v>
      </c>
      <c r="B87" s="17"/>
      <c r="C87" s="17"/>
      <c r="D87" s="17"/>
      <c r="E87" s="17"/>
      <c r="F87" s="78"/>
      <c r="G87" s="79">
        <f>2400000</f>
        <v>2400000</v>
      </c>
    </row>
    <row r="88" spans="1:7" x14ac:dyDescent="0.3">
      <c r="A88" s="149" t="s">
        <v>82</v>
      </c>
      <c r="B88" s="150"/>
      <c r="C88" s="150"/>
      <c r="D88" s="150"/>
      <c r="E88" s="150"/>
      <c r="F88" s="176"/>
      <c r="G88" s="80"/>
    </row>
    <row r="89" spans="1:7" x14ac:dyDescent="0.3">
      <c r="A89" s="167" t="s">
        <v>12</v>
      </c>
      <c r="B89" s="168"/>
      <c r="C89" s="168"/>
      <c r="D89" s="168"/>
      <c r="E89" s="168"/>
      <c r="F89" s="169"/>
      <c r="G89" s="23">
        <v>30</v>
      </c>
    </row>
    <row r="90" spans="1:7" x14ac:dyDescent="0.3">
      <c r="A90" s="167" t="s">
        <v>83</v>
      </c>
      <c r="B90" s="168"/>
      <c r="C90" s="168"/>
      <c r="D90" s="168"/>
      <c r="E90" s="168"/>
      <c r="F90" s="169"/>
      <c r="G90" s="23">
        <v>15</v>
      </c>
    </row>
    <row r="91" spans="1:7" x14ac:dyDescent="0.3">
      <c r="A91" s="179" t="s">
        <v>14</v>
      </c>
      <c r="B91" s="180"/>
      <c r="C91" s="180"/>
      <c r="D91" s="180"/>
      <c r="E91" s="180"/>
      <c r="F91" s="181"/>
      <c r="G91" s="23">
        <v>5</v>
      </c>
    </row>
    <row r="92" spans="1:7" x14ac:dyDescent="0.3">
      <c r="A92" s="182" t="s">
        <v>84</v>
      </c>
      <c r="B92" s="183"/>
      <c r="C92" s="183"/>
      <c r="D92" s="183"/>
      <c r="E92" s="183"/>
      <c r="F92" s="184"/>
      <c r="G92" s="23">
        <v>30</v>
      </c>
    </row>
    <row r="93" spans="1:7" ht="15" thickBot="1" x14ac:dyDescent="0.35">
      <c r="A93" s="185" t="s">
        <v>85</v>
      </c>
      <c r="B93" s="186"/>
      <c r="C93" s="186"/>
      <c r="D93" s="186"/>
      <c r="E93" s="186"/>
      <c r="F93" s="187"/>
      <c r="G93" s="37">
        <v>30</v>
      </c>
    </row>
    <row r="94" spans="1:7" x14ac:dyDescent="0.3">
      <c r="A94" s="82"/>
      <c r="B94" s="81"/>
      <c r="C94" s="81"/>
      <c r="D94" s="81"/>
      <c r="E94" s="81"/>
      <c r="F94" s="81"/>
      <c r="G94" s="62"/>
    </row>
    <row r="95" spans="1:7" ht="15" thickBot="1" x14ac:dyDescent="0.35">
      <c r="A95" s="145" t="s">
        <v>86</v>
      </c>
      <c r="B95" s="145"/>
      <c r="C95" s="145"/>
      <c r="D95" s="145"/>
      <c r="E95" s="145"/>
      <c r="F95" s="145"/>
      <c r="G95" s="145"/>
    </row>
    <row r="96" spans="1:7" x14ac:dyDescent="0.3">
      <c r="A96" s="147" t="s">
        <v>87</v>
      </c>
      <c r="B96" s="148"/>
      <c r="C96" s="148"/>
      <c r="D96" s="148"/>
      <c r="E96" s="148"/>
      <c r="F96" s="148"/>
      <c r="G96" s="83">
        <v>0.15</v>
      </c>
    </row>
    <row r="97" spans="1:7" ht="15" thickBot="1" x14ac:dyDescent="0.35">
      <c r="A97" s="151" t="s">
        <v>88</v>
      </c>
      <c r="B97" s="152"/>
      <c r="C97" s="152"/>
      <c r="D97" s="152"/>
      <c r="E97" s="152"/>
      <c r="F97" s="152"/>
      <c r="G97" s="84">
        <v>0.1</v>
      </c>
    </row>
    <row r="98" spans="1:7" x14ac:dyDescent="0.3">
      <c r="A98" s="82"/>
      <c r="B98" s="62"/>
      <c r="C98" s="81"/>
      <c r="D98" s="81"/>
      <c r="E98" s="81"/>
      <c r="F98" s="81"/>
      <c r="G98"/>
    </row>
    <row r="99" spans="1:7" ht="15" thickBot="1" x14ac:dyDescent="0.35">
      <c r="A99" s="145" t="s">
        <v>89</v>
      </c>
      <c r="B99" s="145"/>
      <c r="C99" s="145"/>
      <c r="D99" s="145"/>
      <c r="E99" s="145"/>
      <c r="F99" s="145"/>
      <c r="G99" s="145"/>
    </row>
    <row r="100" spans="1:7" x14ac:dyDescent="0.3">
      <c r="A100" s="147" t="s">
        <v>90</v>
      </c>
      <c r="B100" s="148"/>
      <c r="C100" s="148"/>
      <c r="D100" s="148"/>
      <c r="E100" s="148"/>
      <c r="F100" s="148"/>
      <c r="G100" s="83">
        <v>1</v>
      </c>
    </row>
    <row r="101" spans="1:7" ht="15" thickBot="1" x14ac:dyDescent="0.35">
      <c r="A101" s="151" t="s">
        <v>91</v>
      </c>
      <c r="B101" s="152"/>
      <c r="C101" s="152"/>
      <c r="D101" s="152"/>
      <c r="E101" s="152"/>
      <c r="F101" s="152"/>
      <c r="G101" s="84">
        <f>G100-1</f>
        <v>0</v>
      </c>
    </row>
    <row r="102" spans="1:7" ht="15" thickBot="1" x14ac:dyDescent="0.35">
      <c r="A102" s="41" t="s">
        <v>92</v>
      </c>
      <c r="B102" s="41"/>
      <c r="C102" s="41"/>
      <c r="D102" s="41"/>
      <c r="E102" s="41"/>
      <c r="F102" s="41"/>
      <c r="G102" s="85"/>
    </row>
    <row r="103" spans="1:7" ht="15" thickBot="1" x14ac:dyDescent="0.35">
      <c r="A103" s="170" t="s">
        <v>93</v>
      </c>
      <c r="B103" s="171"/>
      <c r="C103" s="171"/>
      <c r="D103" s="171"/>
      <c r="E103" s="171"/>
      <c r="F103" s="171"/>
      <c r="G103" s="86">
        <v>0.12</v>
      </c>
    </row>
    <row r="104" spans="1:7" ht="15" thickBot="1" x14ac:dyDescent="0.35">
      <c r="B104" s="87"/>
      <c r="C104" s="87"/>
      <c r="D104" s="87"/>
      <c r="E104" s="87"/>
      <c r="F104" s="87"/>
    </row>
    <row r="105" spans="1:7" ht="15" thickBot="1" x14ac:dyDescent="0.35">
      <c r="A105" s="177" t="s">
        <v>94</v>
      </c>
      <c r="B105" s="178"/>
      <c r="C105" s="178"/>
      <c r="D105" s="178"/>
      <c r="E105" s="178"/>
      <c r="F105" s="178"/>
      <c r="G105" s="88">
        <v>0.25169999999999998</v>
      </c>
    </row>
    <row r="107" spans="1:7" s="89" customFormat="1" x14ac:dyDescent="0.3">
      <c r="A107" s="89" t="s">
        <v>95</v>
      </c>
    </row>
  </sheetData>
  <mergeCells count="72">
    <mergeCell ref="A105:F105"/>
    <mergeCell ref="A90:F90"/>
    <mergeCell ref="A91:F91"/>
    <mergeCell ref="A92:F92"/>
    <mergeCell ref="A93:F93"/>
    <mergeCell ref="A95:G95"/>
    <mergeCell ref="A96:F96"/>
    <mergeCell ref="A97:F97"/>
    <mergeCell ref="A99:G99"/>
    <mergeCell ref="A100:F100"/>
    <mergeCell ref="A101:F101"/>
    <mergeCell ref="A103:F103"/>
    <mergeCell ref="A89:F89"/>
    <mergeCell ref="A75:F75"/>
    <mergeCell ref="A77:G77"/>
    <mergeCell ref="A78:F78"/>
    <mergeCell ref="A79:F79"/>
    <mergeCell ref="A80:F80"/>
    <mergeCell ref="A81:F81"/>
    <mergeCell ref="A82:F82"/>
    <mergeCell ref="A83:F83"/>
    <mergeCell ref="A85:G85"/>
    <mergeCell ref="A86:F86"/>
    <mergeCell ref="A88:F88"/>
    <mergeCell ref="A74:F74"/>
    <mergeCell ref="A61:F61"/>
    <mergeCell ref="A64:G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60:F60"/>
    <mergeCell ref="A48:D48"/>
    <mergeCell ref="A49:D49"/>
    <mergeCell ref="A50:E50"/>
    <mergeCell ref="A52:F52"/>
    <mergeCell ref="A53:F53"/>
    <mergeCell ref="A54:F54"/>
    <mergeCell ref="A55:F55"/>
    <mergeCell ref="A56:F56"/>
    <mergeCell ref="A57:F57"/>
    <mergeCell ref="A58:F58"/>
    <mergeCell ref="A59:F59"/>
    <mergeCell ref="A47:D47"/>
    <mergeCell ref="A35:D35"/>
    <mergeCell ref="A36:D36"/>
    <mergeCell ref="A37:D37"/>
    <mergeCell ref="A38:D38"/>
    <mergeCell ref="A39:D39"/>
    <mergeCell ref="A40:E40"/>
    <mergeCell ref="A42:G42"/>
    <mergeCell ref="A43:D43"/>
    <mergeCell ref="A44:D44"/>
    <mergeCell ref="A45:D45"/>
    <mergeCell ref="A46:D46"/>
    <mergeCell ref="A34:D34"/>
    <mergeCell ref="A1:G1"/>
    <mergeCell ref="A6:G6"/>
    <mergeCell ref="A24:G24"/>
    <mergeCell ref="A25:F25"/>
    <mergeCell ref="A26:F26"/>
    <mergeCell ref="A27:F27"/>
    <mergeCell ref="A29:G29"/>
    <mergeCell ref="A30:D30"/>
    <mergeCell ref="A31:D31"/>
    <mergeCell ref="A32:D32"/>
    <mergeCell ref="A33:D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AC38-DF06-44B5-A645-49C546144D3C}">
  <dimension ref="A1:D9"/>
  <sheetViews>
    <sheetView tabSelected="1" zoomScaleNormal="100" workbookViewId="0">
      <selection activeCell="F8" sqref="F8"/>
    </sheetView>
  </sheetViews>
  <sheetFormatPr defaultRowHeight="14.4" x14ac:dyDescent="0.3"/>
  <cols>
    <col min="1" max="1" width="16" customWidth="1"/>
    <col min="4" max="4" width="18.44140625" customWidth="1"/>
  </cols>
  <sheetData>
    <row r="1" spans="1:4" x14ac:dyDescent="0.3">
      <c r="A1" s="90" t="s">
        <v>96</v>
      </c>
      <c r="B1" t="s">
        <v>97</v>
      </c>
      <c r="C1" s="92" t="s">
        <v>101</v>
      </c>
      <c r="D1" s="91">
        <f>VLOOKUP(C1,$A$3:$B$9,2,)</f>
        <v>100000</v>
      </c>
    </row>
    <row r="3" spans="1:4" x14ac:dyDescent="0.3">
      <c r="A3" t="s">
        <v>98</v>
      </c>
      <c r="B3">
        <v>1</v>
      </c>
    </row>
    <row r="4" spans="1:4" x14ac:dyDescent="0.3">
      <c r="A4" t="s">
        <v>104</v>
      </c>
      <c r="B4">
        <v>10</v>
      </c>
    </row>
    <row r="5" spans="1:4" x14ac:dyDescent="0.3">
      <c r="A5" t="s">
        <v>99</v>
      </c>
      <c r="B5">
        <v>100</v>
      </c>
    </row>
    <row r="6" spans="1:4" x14ac:dyDescent="0.3">
      <c r="A6" t="s">
        <v>100</v>
      </c>
      <c r="B6">
        <v>1000</v>
      </c>
    </row>
    <row r="7" spans="1:4" x14ac:dyDescent="0.3">
      <c r="A7" t="s">
        <v>101</v>
      </c>
      <c r="B7">
        <v>100000</v>
      </c>
    </row>
    <row r="8" spans="1:4" x14ac:dyDescent="0.3">
      <c r="A8" t="s">
        <v>102</v>
      </c>
      <c r="B8">
        <v>1000000</v>
      </c>
    </row>
    <row r="9" spans="1:4" x14ac:dyDescent="0.3">
      <c r="A9" t="s">
        <v>103</v>
      </c>
      <c r="B9">
        <v>10000000</v>
      </c>
    </row>
  </sheetData>
  <phoneticPr fontId="9" type="noConversion"/>
  <dataValidations count="1">
    <dataValidation type="list" allowBlank="1" showInputMessage="1" showErrorMessage="1" sqref="C1" xr:uid="{C14B5549-AF63-41B5-A3F2-2620A2C527ED}">
      <formula1>$A$3:$A$10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0A5D-DB31-4036-AFFF-C6C74B9A3978}">
  <sheetPr>
    <pageSetUpPr fitToPage="1"/>
  </sheetPr>
  <dimension ref="A1:AO84"/>
  <sheetViews>
    <sheetView zoomScale="85" zoomScaleNormal="85" workbookViewId="0">
      <pane xSplit="5" ySplit="11" topLeftCell="AD78" activePane="bottomRight" state="frozen"/>
      <selection pane="topRight" activeCell="F1" sqref="F1"/>
      <selection pane="bottomLeft" activeCell="A12" sqref="A12"/>
      <selection pane="bottomRight" activeCell="AQ96" sqref="AQ96"/>
    </sheetView>
  </sheetViews>
  <sheetFormatPr defaultRowHeight="14.4" x14ac:dyDescent="0.3"/>
  <cols>
    <col min="1" max="1" width="28.33203125" customWidth="1"/>
    <col min="2" max="2" width="8.77734375" bestFit="1" customWidth="1"/>
    <col min="5" max="5" width="2" bestFit="1" customWidth="1"/>
    <col min="6" max="7" width="11.88671875" style="98" customWidth="1"/>
    <col min="8" max="8" width="12.6640625" style="98" customWidth="1"/>
    <col min="9" max="9" width="11.44140625" style="98" customWidth="1"/>
    <col min="10" max="10" width="15" style="98" customWidth="1"/>
    <col min="11" max="11" width="19" style="98" customWidth="1"/>
    <col min="12" max="12" width="16.33203125" style="98" customWidth="1"/>
    <col min="13" max="13" width="17.33203125" style="98" customWidth="1"/>
    <col min="14" max="14" width="18.6640625" style="98" customWidth="1"/>
    <col min="15" max="15" width="15.21875" style="98" customWidth="1"/>
    <col min="16" max="16" width="16.44140625" style="98" customWidth="1"/>
    <col min="17" max="17" width="12.77734375" style="98" bestFit="1" customWidth="1"/>
    <col min="18" max="18" width="11.33203125" style="98" bestFit="1" customWidth="1"/>
    <col min="19" max="19" width="10.88671875" style="98" bestFit="1" customWidth="1"/>
    <col min="20" max="20" width="11.33203125" style="98" bestFit="1" customWidth="1"/>
    <col min="21" max="21" width="10.5546875" style="98" bestFit="1" customWidth="1"/>
    <col min="22" max="22" width="13.21875" style="98" bestFit="1" customWidth="1"/>
    <col min="23" max="23" width="18.5546875" style="98" customWidth="1"/>
    <col min="24" max="24" width="17.33203125" style="98" customWidth="1"/>
    <col min="25" max="25" width="17.6640625" style="98" customWidth="1"/>
    <col min="26" max="26" width="16.88671875" style="98" customWidth="1"/>
    <col min="27" max="27" width="14.88671875" style="98" customWidth="1"/>
    <col min="28" max="28" width="15.6640625" style="98" customWidth="1"/>
    <col min="29" max="29" width="13.6640625" style="98" customWidth="1"/>
    <col min="30" max="30" width="12.5546875" style="98" customWidth="1"/>
    <col min="31" max="31" width="12.109375" style="98" customWidth="1"/>
    <col min="32" max="32" width="12.6640625" style="98" customWidth="1"/>
    <col min="33" max="33" width="14.109375" style="98" customWidth="1"/>
    <col min="34" max="34" width="14.6640625" style="98" customWidth="1"/>
    <col min="35" max="35" width="18.6640625" style="98" customWidth="1"/>
    <col min="36" max="36" width="16.44140625" style="98" customWidth="1"/>
    <col min="37" max="37" width="17.6640625" style="98" customWidth="1"/>
    <col min="38" max="38" width="18.5546875" style="98" customWidth="1"/>
    <col min="39" max="39" width="15.33203125" style="98" customWidth="1"/>
    <col min="40" max="40" width="15.5546875" style="98" customWidth="1"/>
    <col min="41" max="41" width="14.109375" style="98" customWidth="1"/>
    <col min="42" max="16384" width="8.88671875" style="98"/>
  </cols>
  <sheetData>
    <row r="1" spans="1:41" customFormat="1" x14ac:dyDescent="0.3">
      <c r="A1" s="93" t="s">
        <v>105</v>
      </c>
      <c r="B1" s="92" t="str">
        <f>CONVERTER!C1</f>
        <v>LAKHS</v>
      </c>
    </row>
    <row r="2" spans="1:41" customFormat="1" x14ac:dyDescent="0.3"/>
    <row r="3" spans="1:41" customFormat="1" x14ac:dyDescent="0.3"/>
    <row r="4" spans="1:41" customFormat="1" x14ac:dyDescent="0.3"/>
    <row r="5" spans="1:41" customFormat="1" x14ac:dyDescent="0.3"/>
    <row r="6" spans="1:41" customFormat="1" x14ac:dyDescent="0.3"/>
    <row r="7" spans="1:41" customFormat="1" x14ac:dyDescent="0.3">
      <c r="E7" s="95">
        <v>0</v>
      </c>
      <c r="F7" s="97">
        <v>1</v>
      </c>
      <c r="G7" s="97">
        <f>F7+1</f>
        <v>2</v>
      </c>
      <c r="H7" s="97">
        <f t="shared" ref="H7:AO7" si="0">G7+1</f>
        <v>3</v>
      </c>
      <c r="I7" s="97">
        <f t="shared" si="0"/>
        <v>4</v>
      </c>
      <c r="J7" s="97">
        <f t="shared" si="0"/>
        <v>5</v>
      </c>
      <c r="K7" s="97">
        <f t="shared" si="0"/>
        <v>6</v>
      </c>
      <c r="L7" s="97">
        <f t="shared" si="0"/>
        <v>7</v>
      </c>
      <c r="M7" s="97">
        <f t="shared" si="0"/>
        <v>8</v>
      </c>
      <c r="N7" s="97">
        <f t="shared" si="0"/>
        <v>9</v>
      </c>
      <c r="O7" s="97">
        <f t="shared" si="0"/>
        <v>10</v>
      </c>
      <c r="P7" s="97">
        <f t="shared" si="0"/>
        <v>11</v>
      </c>
      <c r="Q7" s="97">
        <f t="shared" si="0"/>
        <v>12</v>
      </c>
      <c r="R7" s="97">
        <f t="shared" si="0"/>
        <v>13</v>
      </c>
      <c r="S7" s="97">
        <f t="shared" si="0"/>
        <v>14</v>
      </c>
      <c r="T7" s="97">
        <f t="shared" si="0"/>
        <v>15</v>
      </c>
      <c r="U7" s="97">
        <f t="shared" si="0"/>
        <v>16</v>
      </c>
      <c r="V7" s="97">
        <f t="shared" si="0"/>
        <v>17</v>
      </c>
      <c r="W7" s="97">
        <f t="shared" si="0"/>
        <v>18</v>
      </c>
      <c r="X7" s="97">
        <f t="shared" si="0"/>
        <v>19</v>
      </c>
      <c r="Y7" s="97">
        <f t="shared" si="0"/>
        <v>20</v>
      </c>
      <c r="Z7" s="97">
        <f t="shared" si="0"/>
        <v>21</v>
      </c>
      <c r="AA7" s="97">
        <f t="shared" si="0"/>
        <v>22</v>
      </c>
      <c r="AB7" s="97">
        <f t="shared" si="0"/>
        <v>23</v>
      </c>
      <c r="AC7" s="97">
        <f t="shared" si="0"/>
        <v>24</v>
      </c>
      <c r="AD7" s="97">
        <f t="shared" si="0"/>
        <v>25</v>
      </c>
      <c r="AE7" s="97">
        <f t="shared" si="0"/>
        <v>26</v>
      </c>
      <c r="AF7" s="97">
        <f t="shared" si="0"/>
        <v>27</v>
      </c>
      <c r="AG7" s="97">
        <f t="shared" si="0"/>
        <v>28</v>
      </c>
      <c r="AH7" s="97">
        <f t="shared" si="0"/>
        <v>29</v>
      </c>
      <c r="AI7" s="97">
        <f t="shared" si="0"/>
        <v>30</v>
      </c>
      <c r="AJ7" s="97">
        <f t="shared" si="0"/>
        <v>31</v>
      </c>
      <c r="AK7" s="97">
        <f t="shared" si="0"/>
        <v>32</v>
      </c>
      <c r="AL7" s="97">
        <f t="shared" si="0"/>
        <v>33</v>
      </c>
      <c r="AM7" s="97">
        <f t="shared" si="0"/>
        <v>34</v>
      </c>
      <c r="AN7" s="97">
        <f t="shared" si="0"/>
        <v>35</v>
      </c>
      <c r="AO7" s="97">
        <f t="shared" si="0"/>
        <v>36</v>
      </c>
    </row>
    <row r="8" spans="1:41" customFormat="1" x14ac:dyDescent="0.3">
      <c r="E8" s="96"/>
      <c r="F8" s="96">
        <f>EOMONTH(ASSUMPTION!G3,0)</f>
        <v>43951</v>
      </c>
      <c r="G8" s="96">
        <f>EOMONTH(F8,1)</f>
        <v>43982</v>
      </c>
      <c r="H8" s="96">
        <f t="shared" ref="H8:AO8" si="1">EOMONTH(G8,1)</f>
        <v>44012</v>
      </c>
      <c r="I8" s="96">
        <f t="shared" si="1"/>
        <v>44043</v>
      </c>
      <c r="J8" s="96">
        <f t="shared" si="1"/>
        <v>44074</v>
      </c>
      <c r="K8" s="96">
        <f t="shared" si="1"/>
        <v>44104</v>
      </c>
      <c r="L8" s="96">
        <f t="shared" si="1"/>
        <v>44135</v>
      </c>
      <c r="M8" s="96">
        <f t="shared" si="1"/>
        <v>44165</v>
      </c>
      <c r="N8" s="96">
        <f t="shared" si="1"/>
        <v>44196</v>
      </c>
      <c r="O8" s="96">
        <f t="shared" si="1"/>
        <v>44227</v>
      </c>
      <c r="P8" s="96">
        <f t="shared" si="1"/>
        <v>44255</v>
      </c>
      <c r="Q8" s="96">
        <f t="shared" si="1"/>
        <v>44286</v>
      </c>
      <c r="R8" s="96">
        <f t="shared" si="1"/>
        <v>44316</v>
      </c>
      <c r="S8" s="96">
        <f t="shared" si="1"/>
        <v>44347</v>
      </c>
      <c r="T8" s="96">
        <f t="shared" si="1"/>
        <v>44377</v>
      </c>
      <c r="U8" s="96">
        <f t="shared" si="1"/>
        <v>44408</v>
      </c>
      <c r="V8" s="96">
        <f t="shared" si="1"/>
        <v>44439</v>
      </c>
      <c r="W8" s="96">
        <f t="shared" si="1"/>
        <v>44469</v>
      </c>
      <c r="X8" s="96">
        <f t="shared" si="1"/>
        <v>44500</v>
      </c>
      <c r="Y8" s="96">
        <f t="shared" si="1"/>
        <v>44530</v>
      </c>
      <c r="Z8" s="96">
        <f t="shared" si="1"/>
        <v>44561</v>
      </c>
      <c r="AA8" s="96">
        <f t="shared" si="1"/>
        <v>44592</v>
      </c>
      <c r="AB8" s="96">
        <f t="shared" si="1"/>
        <v>44620</v>
      </c>
      <c r="AC8" s="96">
        <f t="shared" si="1"/>
        <v>44651</v>
      </c>
      <c r="AD8" s="96">
        <f t="shared" si="1"/>
        <v>44681</v>
      </c>
      <c r="AE8" s="96">
        <f t="shared" si="1"/>
        <v>44712</v>
      </c>
      <c r="AF8" s="96">
        <f t="shared" si="1"/>
        <v>44742</v>
      </c>
      <c r="AG8" s="96">
        <f t="shared" si="1"/>
        <v>44773</v>
      </c>
      <c r="AH8" s="96">
        <f t="shared" si="1"/>
        <v>44804</v>
      </c>
      <c r="AI8" s="96">
        <f t="shared" si="1"/>
        <v>44834</v>
      </c>
      <c r="AJ8" s="96">
        <f t="shared" si="1"/>
        <v>44865</v>
      </c>
      <c r="AK8" s="96">
        <f t="shared" si="1"/>
        <v>44895</v>
      </c>
      <c r="AL8" s="96">
        <f t="shared" si="1"/>
        <v>44926</v>
      </c>
      <c r="AM8" s="96">
        <f t="shared" si="1"/>
        <v>44957</v>
      </c>
      <c r="AN8" s="96">
        <f t="shared" si="1"/>
        <v>44985</v>
      </c>
      <c r="AO8" s="96">
        <f t="shared" si="1"/>
        <v>45016</v>
      </c>
    </row>
    <row r="9" spans="1:41" x14ac:dyDescent="0.3">
      <c r="A9" t="s">
        <v>106</v>
      </c>
      <c r="F9" s="103">
        <f>IF(F8&gt;ASSUMPTION!$G$5,DAY('MONTHLY REVENUE'!F8),0)</f>
        <v>0</v>
      </c>
      <c r="G9" s="103">
        <f>IF(G8&gt;ASSUMPTION!$G$5,DAY('MONTHLY REVENUE'!G8),0)</f>
        <v>0</v>
      </c>
      <c r="H9" s="103">
        <f>IF(H8&gt;ASSUMPTION!$G$5,DAY('MONTHLY REVENUE'!H8),0)</f>
        <v>0</v>
      </c>
      <c r="I9" s="103">
        <f>IF(I8&gt;ASSUMPTION!$G$5,DAY('MONTHLY REVENUE'!I8),0)</f>
        <v>31</v>
      </c>
      <c r="J9" s="103">
        <f>IF(J8&gt;ASSUMPTION!$G$5,DAY('MONTHLY REVENUE'!J8),0)</f>
        <v>31</v>
      </c>
      <c r="K9" s="103">
        <f>IF(K8&gt;ASSUMPTION!$G$5,DAY('MONTHLY REVENUE'!K8),0)</f>
        <v>30</v>
      </c>
      <c r="L9" s="103">
        <f>IF(L8&gt;ASSUMPTION!$G$5,DAY('MONTHLY REVENUE'!L8),0)</f>
        <v>31</v>
      </c>
      <c r="M9" s="103">
        <f>IF(M8&gt;ASSUMPTION!$G$5,DAY('MONTHLY REVENUE'!M8),0)</f>
        <v>30</v>
      </c>
      <c r="N9" s="103">
        <f>IF(N8&gt;ASSUMPTION!$G$5,DAY('MONTHLY REVENUE'!N8),0)</f>
        <v>31</v>
      </c>
      <c r="O9" s="103">
        <f>IF(O8&gt;ASSUMPTION!$G$5,DAY('MONTHLY REVENUE'!O8),0)</f>
        <v>31</v>
      </c>
      <c r="P9" s="103">
        <f>IF(P8&gt;ASSUMPTION!$G$5,DAY('MONTHLY REVENUE'!P8),0)</f>
        <v>28</v>
      </c>
      <c r="Q9" s="103">
        <f>IF(Q8&gt;ASSUMPTION!$G$5,DAY('MONTHLY REVENUE'!Q8),0)</f>
        <v>31</v>
      </c>
      <c r="R9" s="103">
        <f>IF(R8&gt;ASSUMPTION!$G$5,DAY('MONTHLY REVENUE'!R8),0)</f>
        <v>30</v>
      </c>
      <c r="S9" s="103">
        <f>IF(S8&gt;ASSUMPTION!$G$5,DAY('MONTHLY REVENUE'!S8),0)</f>
        <v>31</v>
      </c>
      <c r="T9" s="103">
        <f>IF(T8&gt;ASSUMPTION!$G$5,DAY('MONTHLY REVENUE'!T8),0)</f>
        <v>30</v>
      </c>
      <c r="U9" s="103">
        <f>IF(U8&gt;ASSUMPTION!$G$5,DAY('MONTHLY REVENUE'!U8),0)</f>
        <v>31</v>
      </c>
      <c r="V9" s="103">
        <f>IF(V8&gt;ASSUMPTION!$G$5,DAY('MONTHLY REVENUE'!V8),0)</f>
        <v>31</v>
      </c>
      <c r="W9" s="103">
        <f>IF(W8&gt;ASSUMPTION!$G$5,DAY('MONTHLY REVENUE'!W8),0)</f>
        <v>30</v>
      </c>
      <c r="X9" s="103">
        <f>IF(X8&gt;ASSUMPTION!$G$5,DAY('MONTHLY REVENUE'!X8),0)</f>
        <v>31</v>
      </c>
      <c r="Y9" s="103">
        <f>IF(Y8&gt;ASSUMPTION!$G$5,DAY('MONTHLY REVENUE'!Y8),0)</f>
        <v>30</v>
      </c>
      <c r="Z9" s="103">
        <f>IF(Z8&gt;ASSUMPTION!$G$5,DAY('MONTHLY REVENUE'!Z8),0)</f>
        <v>31</v>
      </c>
      <c r="AA9" s="103">
        <f>IF(AA8&gt;ASSUMPTION!$G$5,DAY('MONTHLY REVENUE'!AA8),0)</f>
        <v>31</v>
      </c>
      <c r="AB9" s="103">
        <f>IF(AB8&gt;ASSUMPTION!$G$5,DAY('MONTHLY REVENUE'!AB8),0)</f>
        <v>28</v>
      </c>
      <c r="AC9" s="103">
        <f>IF(AC8&gt;ASSUMPTION!$G$5,DAY('MONTHLY REVENUE'!AC8),0)</f>
        <v>31</v>
      </c>
      <c r="AD9" s="103">
        <f>IF(AD8&gt;ASSUMPTION!$G$5,DAY('MONTHLY REVENUE'!AD8),0)</f>
        <v>30</v>
      </c>
      <c r="AE9" s="103">
        <f>IF(AE8&gt;ASSUMPTION!$G$5,DAY('MONTHLY REVENUE'!AE8),0)</f>
        <v>31</v>
      </c>
      <c r="AF9" s="103">
        <f>IF(AF8&gt;ASSUMPTION!$G$5,DAY('MONTHLY REVENUE'!AF8),0)</f>
        <v>30</v>
      </c>
      <c r="AG9" s="103">
        <f>IF(AG8&gt;ASSUMPTION!$G$5,DAY('MONTHLY REVENUE'!AG8),0)</f>
        <v>31</v>
      </c>
      <c r="AH9" s="103">
        <f>IF(AH8&gt;ASSUMPTION!$G$5,DAY('MONTHLY REVENUE'!AH8),0)</f>
        <v>31</v>
      </c>
      <c r="AI9" s="103">
        <f>IF(AI8&gt;ASSUMPTION!$G$5,DAY('MONTHLY REVENUE'!AI8),0)</f>
        <v>30</v>
      </c>
      <c r="AJ9" s="103">
        <f>IF(AJ8&gt;ASSUMPTION!$G$5,DAY('MONTHLY REVENUE'!AJ8),0)</f>
        <v>31</v>
      </c>
      <c r="AK9" s="103">
        <f>IF(AK8&gt;ASSUMPTION!$G$5,DAY('MONTHLY REVENUE'!AK8),0)</f>
        <v>30</v>
      </c>
      <c r="AL9" s="103">
        <f>IF(AL8&gt;ASSUMPTION!$G$5,DAY('MONTHLY REVENUE'!AL8),0)</f>
        <v>31</v>
      </c>
      <c r="AM9" s="103">
        <f>IF(AM8&gt;ASSUMPTION!$G$5,DAY('MONTHLY REVENUE'!AM8),0)</f>
        <v>31</v>
      </c>
      <c r="AN9" s="103">
        <f>IF(AN8&gt;ASSUMPTION!$G$5,DAY('MONTHLY REVENUE'!AN8),0)</f>
        <v>28</v>
      </c>
      <c r="AO9" s="103">
        <f>IF(AO8&gt;ASSUMPTION!$G$5,DAY('MONTHLY REVENUE'!AO8),0)</f>
        <v>31</v>
      </c>
    </row>
    <row r="10" spans="1:41" x14ac:dyDescent="0.3">
      <c r="A10" t="s">
        <v>107</v>
      </c>
      <c r="F10" s="103">
        <f>IF(F9&gt;0,NETWORKDAYS(E8+1,F8),0)</f>
        <v>0</v>
      </c>
      <c r="G10" s="103">
        <f t="shared" ref="G10:AO10" si="2">IF(G9&gt;0,NETWORKDAYS(F8+1,G8),0)</f>
        <v>0</v>
      </c>
      <c r="H10" s="103">
        <f t="shared" si="2"/>
        <v>0</v>
      </c>
      <c r="I10" s="103">
        <f t="shared" si="2"/>
        <v>23</v>
      </c>
      <c r="J10" s="103">
        <f t="shared" si="2"/>
        <v>21</v>
      </c>
      <c r="K10" s="103">
        <f t="shared" si="2"/>
        <v>22</v>
      </c>
      <c r="L10" s="103">
        <f t="shared" si="2"/>
        <v>22</v>
      </c>
      <c r="M10" s="103">
        <f t="shared" si="2"/>
        <v>21</v>
      </c>
      <c r="N10" s="103">
        <f t="shared" si="2"/>
        <v>23</v>
      </c>
      <c r="O10" s="103">
        <f t="shared" si="2"/>
        <v>21</v>
      </c>
      <c r="P10" s="103">
        <f t="shared" si="2"/>
        <v>20</v>
      </c>
      <c r="Q10" s="103">
        <f t="shared" si="2"/>
        <v>23</v>
      </c>
      <c r="R10" s="103">
        <f t="shared" si="2"/>
        <v>22</v>
      </c>
      <c r="S10" s="103">
        <f t="shared" si="2"/>
        <v>21</v>
      </c>
      <c r="T10" s="103">
        <f t="shared" si="2"/>
        <v>22</v>
      </c>
      <c r="U10" s="103">
        <f t="shared" si="2"/>
        <v>22</v>
      </c>
      <c r="V10" s="103">
        <f t="shared" si="2"/>
        <v>22</v>
      </c>
      <c r="W10" s="103">
        <f t="shared" si="2"/>
        <v>22</v>
      </c>
      <c r="X10" s="103">
        <f t="shared" si="2"/>
        <v>21</v>
      </c>
      <c r="Y10" s="103">
        <f t="shared" si="2"/>
        <v>22</v>
      </c>
      <c r="Z10" s="103">
        <f t="shared" si="2"/>
        <v>23</v>
      </c>
      <c r="AA10" s="103">
        <f t="shared" si="2"/>
        <v>21</v>
      </c>
      <c r="AB10" s="103">
        <f t="shared" si="2"/>
        <v>20</v>
      </c>
      <c r="AC10" s="103">
        <f t="shared" si="2"/>
        <v>23</v>
      </c>
      <c r="AD10" s="103">
        <f t="shared" si="2"/>
        <v>21</v>
      </c>
      <c r="AE10" s="103">
        <f t="shared" si="2"/>
        <v>22</v>
      </c>
      <c r="AF10" s="103">
        <f t="shared" si="2"/>
        <v>22</v>
      </c>
      <c r="AG10" s="103">
        <f t="shared" si="2"/>
        <v>21</v>
      </c>
      <c r="AH10" s="103">
        <f t="shared" si="2"/>
        <v>23</v>
      </c>
      <c r="AI10" s="103">
        <f t="shared" si="2"/>
        <v>22</v>
      </c>
      <c r="AJ10" s="103">
        <f t="shared" si="2"/>
        <v>21</v>
      </c>
      <c r="AK10" s="103">
        <f t="shared" si="2"/>
        <v>22</v>
      </c>
      <c r="AL10" s="103">
        <f t="shared" si="2"/>
        <v>22</v>
      </c>
      <c r="AM10" s="103">
        <f t="shared" si="2"/>
        <v>22</v>
      </c>
      <c r="AN10" s="103">
        <f t="shared" si="2"/>
        <v>20</v>
      </c>
      <c r="AO10" s="103">
        <f t="shared" si="2"/>
        <v>23</v>
      </c>
    </row>
    <row r="11" spans="1:41" x14ac:dyDescent="0.3">
      <c r="A11" t="s">
        <v>108</v>
      </c>
      <c r="F11" s="104"/>
      <c r="G11" s="104">
        <f t="shared" ref="G11:AO11" si="3">G9-G10</f>
        <v>0</v>
      </c>
      <c r="H11" s="104">
        <f t="shared" si="3"/>
        <v>0</v>
      </c>
      <c r="I11" s="104">
        <f t="shared" si="3"/>
        <v>8</v>
      </c>
      <c r="J11" s="104">
        <f t="shared" si="3"/>
        <v>10</v>
      </c>
      <c r="K11" s="104">
        <f t="shared" si="3"/>
        <v>8</v>
      </c>
      <c r="L11" s="104">
        <f t="shared" si="3"/>
        <v>9</v>
      </c>
      <c r="M11" s="104">
        <f t="shared" si="3"/>
        <v>9</v>
      </c>
      <c r="N11" s="104">
        <f t="shared" si="3"/>
        <v>8</v>
      </c>
      <c r="O11" s="104">
        <f t="shared" si="3"/>
        <v>10</v>
      </c>
      <c r="P11" s="104">
        <f t="shared" si="3"/>
        <v>8</v>
      </c>
      <c r="Q11" s="104">
        <f t="shared" si="3"/>
        <v>8</v>
      </c>
      <c r="R11" s="104">
        <f t="shared" si="3"/>
        <v>8</v>
      </c>
      <c r="S11" s="104">
        <f t="shared" si="3"/>
        <v>10</v>
      </c>
      <c r="T11" s="104">
        <f t="shared" si="3"/>
        <v>8</v>
      </c>
      <c r="U11" s="104">
        <f t="shared" si="3"/>
        <v>9</v>
      </c>
      <c r="V11" s="104">
        <f t="shared" si="3"/>
        <v>9</v>
      </c>
      <c r="W11" s="104">
        <f t="shared" si="3"/>
        <v>8</v>
      </c>
      <c r="X11" s="104">
        <f t="shared" si="3"/>
        <v>10</v>
      </c>
      <c r="Y11" s="104">
        <f t="shared" si="3"/>
        <v>8</v>
      </c>
      <c r="Z11" s="104">
        <f t="shared" si="3"/>
        <v>8</v>
      </c>
      <c r="AA11" s="104">
        <f t="shared" si="3"/>
        <v>10</v>
      </c>
      <c r="AB11" s="104">
        <f t="shared" si="3"/>
        <v>8</v>
      </c>
      <c r="AC11" s="104">
        <f t="shared" si="3"/>
        <v>8</v>
      </c>
      <c r="AD11" s="104">
        <f t="shared" si="3"/>
        <v>9</v>
      </c>
      <c r="AE11" s="104">
        <f t="shared" si="3"/>
        <v>9</v>
      </c>
      <c r="AF11" s="104">
        <f t="shared" si="3"/>
        <v>8</v>
      </c>
      <c r="AG11" s="104">
        <f t="shared" si="3"/>
        <v>10</v>
      </c>
      <c r="AH11" s="104">
        <f t="shared" si="3"/>
        <v>8</v>
      </c>
      <c r="AI11" s="104">
        <f t="shared" si="3"/>
        <v>8</v>
      </c>
      <c r="AJ11" s="104">
        <f t="shared" si="3"/>
        <v>10</v>
      </c>
      <c r="AK11" s="104">
        <f t="shared" si="3"/>
        <v>8</v>
      </c>
      <c r="AL11" s="104">
        <f t="shared" si="3"/>
        <v>9</v>
      </c>
      <c r="AM11" s="104">
        <f t="shared" si="3"/>
        <v>9</v>
      </c>
      <c r="AN11" s="104">
        <f t="shared" si="3"/>
        <v>8</v>
      </c>
      <c r="AO11" s="104">
        <f t="shared" si="3"/>
        <v>8</v>
      </c>
    </row>
    <row r="13" spans="1:41" x14ac:dyDescent="0.3">
      <c r="A13" s="93" t="s">
        <v>113</v>
      </c>
    </row>
    <row r="14" spans="1:41" x14ac:dyDescent="0.3">
      <c r="A14" s="87" t="s">
        <v>109</v>
      </c>
      <c r="K14" s="98">
        <f>IF('MONTHLY REVENUE'!G$9&gt;0,MIN(MAX(ASSUMPTION!$B$19*ASSUMPTION!$B$18,'MONTHLY REVENUE'!F$9*(1+ASSUMPTION!$A$20)),ASSUMPTION!$B$21),0)</f>
        <v>0</v>
      </c>
    </row>
    <row r="15" spans="1:41" x14ac:dyDescent="0.3">
      <c r="A15" t="s">
        <v>110</v>
      </c>
      <c r="F15" s="99">
        <f>IF(F$9&gt;0,MIN(MAX(ASSUMPTION!$B$19*ASSUMPTION!$B$18,'MONTHLY REVENUE'!E15*(1+ASSUMPTION!$B$20)),ASSUMPTION!$B$21),0)</f>
        <v>0</v>
      </c>
      <c r="G15" s="99">
        <f>IF(G$9&gt;0,MIN(MAX(ASSUMPTION!$B$19*ASSUMPTION!$B$18,'MONTHLY REVENUE'!F15*(1+ASSUMPTION!$B$20)),ASSUMPTION!$B$21),0)</f>
        <v>0</v>
      </c>
      <c r="H15" s="99">
        <f>IF(H$9&gt;0,MIN(MAX(ASSUMPTION!$B$19*ASSUMPTION!$B$18,'MONTHLY REVENUE'!G15*(1+ASSUMPTION!$B$20)),ASSUMPTION!$B$21),0)</f>
        <v>0</v>
      </c>
      <c r="I15" s="99">
        <f>IF(I$9&gt;0,MIN(MAX(ASSUMPTION!$B$19*ASSUMPTION!$B$18,'MONTHLY REVENUE'!H15*(1+ASSUMPTION!$B$20)),ASSUMPTION!$B$21),0)</f>
        <v>20</v>
      </c>
      <c r="J15" s="99">
        <f>IF(J$9&gt;0,MIN(MAX(ASSUMPTION!$B$19*ASSUMPTION!$B$18,'MONTHLY REVENUE'!I15*(1+ASSUMPTION!$B$20)),ASSUMPTION!$B$21),0)</f>
        <v>20.399999999999999</v>
      </c>
      <c r="K15" s="99">
        <f>IF(K$9&gt;0,MIN(MAX(ASSUMPTION!$B$19*ASSUMPTION!$B$18,'MONTHLY REVENUE'!J15*(1+ASSUMPTION!$B$20)),ASSUMPTION!$B$21),0)</f>
        <v>20.808</v>
      </c>
      <c r="L15" s="99">
        <f>IF(L$9&gt;0,MIN(MAX(ASSUMPTION!$B$19*ASSUMPTION!$B$18,'MONTHLY REVENUE'!K15*(1+ASSUMPTION!$B$20)),ASSUMPTION!$B$21),0)</f>
        <v>21.224160000000001</v>
      </c>
      <c r="M15" s="99">
        <f>IF(M$9&gt;0,MIN(MAX(ASSUMPTION!$B$19*ASSUMPTION!$B$18,'MONTHLY REVENUE'!L15*(1+ASSUMPTION!$B$20)),ASSUMPTION!$B$21),0)</f>
        <v>21.648643200000002</v>
      </c>
      <c r="N15" s="99">
        <f>IF(N$9&gt;0,MIN(MAX(ASSUMPTION!$B$19*ASSUMPTION!$B$18,'MONTHLY REVENUE'!M15*(1+ASSUMPTION!$B$20)),ASSUMPTION!$B$21),0)</f>
        <v>22.081616064000002</v>
      </c>
      <c r="O15" s="99">
        <f>IF(O$9&gt;0,MIN(MAX(ASSUMPTION!$B$19*ASSUMPTION!$B$18,'MONTHLY REVENUE'!N15*(1+ASSUMPTION!$B$20)),ASSUMPTION!$B$21),0)</f>
        <v>22.523248385280002</v>
      </c>
      <c r="P15" s="99">
        <f>IF(P$9&gt;0,MIN(MAX(ASSUMPTION!$B$19*ASSUMPTION!$B$18,'MONTHLY REVENUE'!O15*(1+ASSUMPTION!$B$20)),ASSUMPTION!$B$21),0)</f>
        <v>22.973713352985602</v>
      </c>
      <c r="Q15" s="99">
        <f>IF(Q$9&gt;0,MIN(MAX(ASSUMPTION!$B$19*ASSUMPTION!$B$18,'MONTHLY REVENUE'!P15*(1+ASSUMPTION!$B$20)),ASSUMPTION!$B$21),0)</f>
        <v>23.433187620045313</v>
      </c>
      <c r="R15" s="99">
        <f>IF(R$9&gt;0,MIN(MAX(ASSUMPTION!$B$19*ASSUMPTION!$B$18,'MONTHLY REVENUE'!Q15*(1+ASSUMPTION!$B$20)),ASSUMPTION!$B$21),0)</f>
        <v>23.90185137244622</v>
      </c>
      <c r="S15" s="99">
        <f>IF(S$9&gt;0,MIN(MAX(ASSUMPTION!$B$19*ASSUMPTION!$B$18,'MONTHLY REVENUE'!R15*(1+ASSUMPTION!$B$20)),ASSUMPTION!$B$21),0)</f>
        <v>24.379888399895144</v>
      </c>
      <c r="T15" s="99">
        <f>IF(T$9&gt;0,MIN(MAX(ASSUMPTION!$B$19*ASSUMPTION!$B$18,'MONTHLY REVENUE'!S15*(1+ASSUMPTION!$B$20)),ASSUMPTION!$B$21),0)</f>
        <v>24.867486167893048</v>
      </c>
      <c r="U15" s="99">
        <f>IF(U$9&gt;0,MIN(MAX(ASSUMPTION!$B$19*ASSUMPTION!$B$18,'MONTHLY REVENUE'!T15*(1+ASSUMPTION!$B$20)),ASSUMPTION!$B$21),0)</f>
        <v>25.364835891250909</v>
      </c>
      <c r="V15" s="99">
        <f>IF(V$9&gt;0,MIN(MAX(ASSUMPTION!$B$19*ASSUMPTION!$B$18,'MONTHLY REVENUE'!U15*(1+ASSUMPTION!$B$20)),ASSUMPTION!$B$21),0)</f>
        <v>25.872132609075926</v>
      </c>
      <c r="W15" s="99">
        <f>IF(W$9&gt;0,MIN(MAX(ASSUMPTION!$B$19*ASSUMPTION!$B$18,'MONTHLY REVENUE'!V15*(1+ASSUMPTION!$B$20)),ASSUMPTION!$B$21),0)</f>
        <v>26.389575261257445</v>
      </c>
      <c r="X15" s="99">
        <f>IF(X$9&gt;0,MIN(MAX(ASSUMPTION!$B$19*ASSUMPTION!$B$18,'MONTHLY REVENUE'!W15*(1+ASSUMPTION!$B$20)),ASSUMPTION!$B$21),0)</f>
        <v>26.917366766482594</v>
      </c>
      <c r="Y15" s="99">
        <f>IF(Y$9&gt;0,MIN(MAX(ASSUMPTION!$B$19*ASSUMPTION!$B$18,'MONTHLY REVENUE'!X15*(1+ASSUMPTION!$B$20)),ASSUMPTION!$B$21),0)</f>
        <v>27.455714101812248</v>
      </c>
      <c r="Z15" s="99">
        <f>IF(Z$9&gt;0,MIN(MAX(ASSUMPTION!$B$19*ASSUMPTION!$B$18,'MONTHLY REVENUE'!Y15*(1+ASSUMPTION!$B$20)),ASSUMPTION!$B$21),0)</f>
        <v>28.004828383848494</v>
      </c>
      <c r="AA15" s="99">
        <f>IF(AA$9&gt;0,MIN(MAX(ASSUMPTION!$B$19*ASSUMPTION!$B$18,'MONTHLY REVENUE'!Z15*(1+ASSUMPTION!$B$20)),ASSUMPTION!$B$21),0)</f>
        <v>28.564924951525466</v>
      </c>
      <c r="AB15" s="99">
        <f>IF(AB$9&gt;0,MIN(MAX(ASSUMPTION!$B$19*ASSUMPTION!$B$18,'MONTHLY REVENUE'!AA15*(1+ASSUMPTION!$B$20)),ASSUMPTION!$B$21),0)</f>
        <v>29.136223450555974</v>
      </c>
      <c r="AC15" s="99">
        <f>IF(AC$9&gt;0,MIN(MAX(ASSUMPTION!$B$19*ASSUMPTION!$B$18,'MONTHLY REVENUE'!AB15*(1+ASSUMPTION!$B$20)),ASSUMPTION!$B$21),0)</f>
        <v>29.718947919567093</v>
      </c>
      <c r="AD15" s="99">
        <f>IF(AD$9&gt;0,MIN(MAX(ASSUMPTION!$B$19*ASSUMPTION!$B$18,'MONTHLY REVENUE'!AC15*(1+ASSUMPTION!$B$20)),ASSUMPTION!$B$21),0)</f>
        <v>30.313326877958435</v>
      </c>
      <c r="AE15" s="99">
        <f>IF(AE$9&gt;0,MIN(MAX(ASSUMPTION!$B$19*ASSUMPTION!$B$18,'MONTHLY REVENUE'!AD15*(1+ASSUMPTION!$B$20)),ASSUMPTION!$B$21),0)</f>
        <v>30.919593415517603</v>
      </c>
      <c r="AF15" s="99">
        <f>IF(AF$9&gt;0,MIN(MAX(ASSUMPTION!$B$19*ASSUMPTION!$B$18,'MONTHLY REVENUE'!AE15*(1+ASSUMPTION!$B$20)),ASSUMPTION!$B$21),0)</f>
        <v>31.537985283827958</v>
      </c>
      <c r="AG15" s="99">
        <f>IF(AG$9&gt;0,MIN(MAX(ASSUMPTION!$B$19*ASSUMPTION!$B$18,'MONTHLY REVENUE'!AF15*(1+ASSUMPTION!$B$20)),ASSUMPTION!$B$21),0)</f>
        <v>32.168744989504518</v>
      </c>
      <c r="AH15" s="99">
        <f>IF(AH$9&gt;0,MIN(MAX(ASSUMPTION!$B$19*ASSUMPTION!$B$18,'MONTHLY REVENUE'!AG15*(1+ASSUMPTION!$B$20)),ASSUMPTION!$B$21),0)</f>
        <v>32.812119889294607</v>
      </c>
      <c r="AI15" s="99">
        <f>IF(AI$9&gt;0,MIN(MAX(ASSUMPTION!$B$19*ASSUMPTION!$B$18,'MONTHLY REVENUE'!AH15*(1+ASSUMPTION!$B$20)),ASSUMPTION!$B$21),0)</f>
        <v>33.468362287080502</v>
      </c>
      <c r="AJ15" s="99">
        <f>IF(AJ$9&gt;0,MIN(MAX(ASSUMPTION!$B$19*ASSUMPTION!$B$18,'MONTHLY REVENUE'!AI15*(1+ASSUMPTION!$B$20)),ASSUMPTION!$B$21),0)</f>
        <v>34.137729532822114</v>
      </c>
      <c r="AK15" s="99">
        <f>IF(AK$9&gt;0,MIN(MAX(ASSUMPTION!$B$19*ASSUMPTION!$B$18,'MONTHLY REVENUE'!AJ15*(1+ASSUMPTION!$B$20)),ASSUMPTION!$B$21),0)</f>
        <v>34.820484123478558</v>
      </c>
      <c r="AL15" s="99">
        <f>IF(AL$9&gt;0,MIN(MAX(ASSUMPTION!$B$19*ASSUMPTION!$B$18,'MONTHLY REVENUE'!AK15*(1+ASSUMPTION!$B$20)),ASSUMPTION!$B$21),0)</f>
        <v>35.516893805948129</v>
      </c>
      <c r="AM15" s="99">
        <f>IF(AM$9&gt;0,MIN(MAX(ASSUMPTION!$B$19*ASSUMPTION!$B$18,'MONTHLY REVENUE'!AL15*(1+ASSUMPTION!$B$20)),ASSUMPTION!$B$21),0)</f>
        <v>36.227231682067092</v>
      </c>
      <c r="AN15" s="99">
        <f>IF(AN$9&gt;0,MIN(MAX(ASSUMPTION!$B$19*ASSUMPTION!$B$18,'MONTHLY REVENUE'!AM15*(1+ASSUMPTION!$B$20)),ASSUMPTION!$B$21),0)</f>
        <v>36.951776315708436</v>
      </c>
      <c r="AO15" s="99">
        <f>IF(AO$9&gt;0,MIN(MAX(ASSUMPTION!$B$19*ASSUMPTION!$B$18,'MONTHLY REVENUE'!AN15*(1+ASSUMPTION!$B$20)),ASSUMPTION!$B$21),0)</f>
        <v>37.690811842022605</v>
      </c>
    </row>
    <row r="16" spans="1:41" x14ac:dyDescent="0.3">
      <c r="A16" t="s">
        <v>111</v>
      </c>
      <c r="F16" s="99">
        <f>IF(F$9&gt;0,MIN(MAX(ASSUMPTION!$F$19*ASSUMPTION!$F$18,'MONTHLY REVENUE'!E16*(1+ASSUMPTION!$F$20)),ASSUMPTION!$F$21),0)</f>
        <v>0</v>
      </c>
      <c r="G16" s="99">
        <f>IF(G$9&gt;0,MIN(MAX(ASSUMPTION!$F$19*ASSUMPTION!$F$18,'MONTHLY REVENUE'!F16*(1+ASSUMPTION!$F$20)),ASSUMPTION!$F$21),0)</f>
        <v>0</v>
      </c>
      <c r="H16" s="99">
        <f>IF(H$9&gt;0,MIN(MAX(ASSUMPTION!$F$19*ASSUMPTION!$F$18,'MONTHLY REVENUE'!G16*(1+ASSUMPTION!$F$20)),ASSUMPTION!$F$21),0)</f>
        <v>0</v>
      </c>
      <c r="I16" s="99">
        <f>IF(I$9&gt;0,MIN(MAX(ASSUMPTION!$F$19*ASSUMPTION!$F$18,'MONTHLY REVENUE'!H16*(1+ASSUMPTION!$F$20)),ASSUMPTION!$F$21),0)</f>
        <v>26</v>
      </c>
      <c r="J16" s="99">
        <f>IF(J$9&gt;0,MIN(MAX(ASSUMPTION!$F$19*ASSUMPTION!$F$18,'MONTHLY REVENUE'!I16*(1+ASSUMPTION!$F$20)),ASSUMPTION!$F$21),0)</f>
        <v>26.52</v>
      </c>
      <c r="K16" s="99">
        <f>IF(K$9&gt;0,MIN(MAX(ASSUMPTION!$F$19*ASSUMPTION!$F$18,'MONTHLY REVENUE'!J16*(1+ASSUMPTION!$F$20)),ASSUMPTION!$F$21),0)</f>
        <v>27.0504</v>
      </c>
      <c r="L16" s="99">
        <f>IF(L$9&gt;0,MIN(MAX(ASSUMPTION!$F$19*ASSUMPTION!$F$18,'MONTHLY REVENUE'!K16*(1+ASSUMPTION!$F$20)),ASSUMPTION!$F$21),0)</f>
        <v>27.591408000000001</v>
      </c>
      <c r="M16" s="99">
        <f>IF(M$9&gt;0,MIN(MAX(ASSUMPTION!$F$19*ASSUMPTION!$F$18,'MONTHLY REVENUE'!L16*(1+ASSUMPTION!$F$20)),ASSUMPTION!$F$21),0)</f>
        <v>28.143236160000001</v>
      </c>
      <c r="N16" s="99">
        <f>IF(N$9&gt;0,MIN(MAX(ASSUMPTION!$F$19*ASSUMPTION!$F$18,'MONTHLY REVENUE'!M16*(1+ASSUMPTION!$F$20)),ASSUMPTION!$F$21),0)</f>
        <v>28.706100883200001</v>
      </c>
      <c r="O16" s="99">
        <f>IF(O$9&gt;0,MIN(MAX(ASSUMPTION!$F$19*ASSUMPTION!$F$18,'MONTHLY REVENUE'!N16*(1+ASSUMPTION!$F$20)),ASSUMPTION!$F$21),0)</f>
        <v>29.280222900864</v>
      </c>
      <c r="P16" s="99">
        <f>IF(P$9&gt;0,MIN(MAX(ASSUMPTION!$F$19*ASSUMPTION!$F$18,'MONTHLY REVENUE'!O16*(1+ASSUMPTION!$F$20)),ASSUMPTION!$F$21),0)</f>
        <v>29.86582735888128</v>
      </c>
      <c r="Q16" s="99">
        <f>IF(Q$9&gt;0,MIN(MAX(ASSUMPTION!$F$19*ASSUMPTION!$F$18,'MONTHLY REVENUE'!P16*(1+ASSUMPTION!$F$20)),ASSUMPTION!$F$21),0)</f>
        <v>30.463143906058907</v>
      </c>
      <c r="R16" s="99">
        <f>IF(R$9&gt;0,MIN(MAX(ASSUMPTION!$F$19*ASSUMPTION!$F$18,'MONTHLY REVENUE'!Q16*(1+ASSUMPTION!$F$20)),ASSUMPTION!$F$21),0)</f>
        <v>31.072406784180085</v>
      </c>
      <c r="S16" s="99">
        <f>IF(S$9&gt;0,MIN(MAX(ASSUMPTION!$F$19*ASSUMPTION!$F$18,'MONTHLY REVENUE'!R16*(1+ASSUMPTION!$F$20)),ASSUMPTION!$F$21),0)</f>
        <v>31.693854919863689</v>
      </c>
      <c r="T16" s="99">
        <f>IF(T$9&gt;0,MIN(MAX(ASSUMPTION!$F$19*ASSUMPTION!$F$18,'MONTHLY REVENUE'!S16*(1+ASSUMPTION!$F$20)),ASSUMPTION!$F$21),0)</f>
        <v>32.32773201826096</v>
      </c>
      <c r="U16" s="99">
        <f>IF(U$9&gt;0,MIN(MAX(ASSUMPTION!$F$19*ASSUMPTION!$F$18,'MONTHLY REVENUE'!T16*(1+ASSUMPTION!$F$20)),ASSUMPTION!$F$21),0)</f>
        <v>32.974286658626177</v>
      </c>
      <c r="V16" s="99">
        <f>IF(V$9&gt;0,MIN(MAX(ASSUMPTION!$F$19*ASSUMPTION!$F$18,'MONTHLY REVENUE'!U16*(1+ASSUMPTION!$F$20)),ASSUMPTION!$F$21),0)</f>
        <v>33.633772391798701</v>
      </c>
      <c r="W16" s="99">
        <f>IF(W$9&gt;0,MIN(MAX(ASSUMPTION!$F$19*ASSUMPTION!$F$18,'MONTHLY REVENUE'!V16*(1+ASSUMPTION!$F$20)),ASSUMPTION!$F$21),0)</f>
        <v>34.306447839634679</v>
      </c>
      <c r="X16" s="99">
        <f>IF(X$9&gt;0,MIN(MAX(ASSUMPTION!$F$19*ASSUMPTION!$F$18,'MONTHLY REVENUE'!W16*(1+ASSUMPTION!$F$20)),ASSUMPTION!$F$21),0)</f>
        <v>34.992576796427372</v>
      </c>
      <c r="Y16" s="99">
        <f>IF(Y$9&gt;0,MIN(MAX(ASSUMPTION!$F$19*ASSUMPTION!$F$18,'MONTHLY REVENUE'!X16*(1+ASSUMPTION!$F$20)),ASSUMPTION!$F$21),0)</f>
        <v>35.692428332355917</v>
      </c>
      <c r="Z16" s="99">
        <f>IF(Z$9&gt;0,MIN(MAX(ASSUMPTION!$F$19*ASSUMPTION!$F$18,'MONTHLY REVENUE'!Y16*(1+ASSUMPTION!$F$20)),ASSUMPTION!$F$21),0)</f>
        <v>36.406276899003032</v>
      </c>
      <c r="AA16" s="99">
        <f>IF(AA$9&gt;0,MIN(MAX(ASSUMPTION!$F$19*ASSUMPTION!$F$18,'MONTHLY REVENUE'!Z16*(1+ASSUMPTION!$F$20)),ASSUMPTION!$F$21),0)</f>
        <v>37.134402436983095</v>
      </c>
      <c r="AB16" s="99">
        <f>IF(AB$9&gt;0,MIN(MAX(ASSUMPTION!$F$19*ASSUMPTION!$F$18,'MONTHLY REVENUE'!AA16*(1+ASSUMPTION!$F$20)),ASSUMPTION!$F$21),0)</f>
        <v>37.877090485722761</v>
      </c>
      <c r="AC16" s="99">
        <f>IF(AC$9&gt;0,MIN(MAX(ASSUMPTION!$F$19*ASSUMPTION!$F$18,'MONTHLY REVENUE'!AB16*(1+ASSUMPTION!$F$20)),ASSUMPTION!$F$21),0)</f>
        <v>38.634632295437214</v>
      </c>
      <c r="AD16" s="99">
        <f>IF(AD$9&gt;0,MIN(MAX(ASSUMPTION!$F$19*ASSUMPTION!$F$18,'MONTHLY REVENUE'!AC16*(1+ASSUMPTION!$F$20)),ASSUMPTION!$F$21),0)</f>
        <v>39.407324941345962</v>
      </c>
      <c r="AE16" s="99">
        <f>IF(AE$9&gt;0,MIN(MAX(ASSUMPTION!$F$19*ASSUMPTION!$F$18,'MONTHLY REVENUE'!AD16*(1+ASSUMPTION!$F$20)),ASSUMPTION!$F$21),0)</f>
        <v>40.195471440172881</v>
      </c>
      <c r="AF16" s="99">
        <f>IF(AF$9&gt;0,MIN(MAX(ASSUMPTION!$F$19*ASSUMPTION!$F$18,'MONTHLY REVENUE'!AE16*(1+ASSUMPTION!$F$20)),ASSUMPTION!$F$21),0)</f>
        <v>40.999380868976338</v>
      </c>
      <c r="AG16" s="99">
        <f>IF(AG$9&gt;0,MIN(MAX(ASSUMPTION!$F$19*ASSUMPTION!$F$18,'MONTHLY REVENUE'!AF16*(1+ASSUMPTION!$F$20)),ASSUMPTION!$F$21),0)</f>
        <v>41.819368486355863</v>
      </c>
      <c r="AH16" s="99">
        <f>IF(AH$9&gt;0,MIN(MAX(ASSUMPTION!$F$19*ASSUMPTION!$F$18,'MONTHLY REVENUE'!AG16*(1+ASSUMPTION!$F$20)),ASSUMPTION!$F$21),0)</f>
        <v>42.655755856082983</v>
      </c>
      <c r="AI16" s="99">
        <f>IF(AI$9&gt;0,MIN(MAX(ASSUMPTION!$F$19*ASSUMPTION!$F$18,'MONTHLY REVENUE'!AH16*(1+ASSUMPTION!$F$20)),ASSUMPTION!$F$21),0)</f>
        <v>43.508870973204644</v>
      </c>
      <c r="AJ16" s="99">
        <f>IF(AJ$9&gt;0,MIN(MAX(ASSUMPTION!$F$19*ASSUMPTION!$F$18,'MONTHLY REVENUE'!AI16*(1+ASSUMPTION!$F$20)),ASSUMPTION!$F$21),0)</f>
        <v>44.379048392668736</v>
      </c>
      <c r="AK16" s="99">
        <f>IF(AK$9&gt;0,MIN(MAX(ASSUMPTION!$F$19*ASSUMPTION!$F$18,'MONTHLY REVENUE'!AJ16*(1+ASSUMPTION!$F$20)),ASSUMPTION!$F$21),0)</f>
        <v>45.26662936052211</v>
      </c>
      <c r="AL16" s="99">
        <f>IF(AL$9&gt;0,MIN(MAX(ASSUMPTION!$F$19*ASSUMPTION!$F$18,'MONTHLY REVENUE'!AK16*(1+ASSUMPTION!$F$20)),ASSUMPTION!$F$21),0)</f>
        <v>46.171961947732555</v>
      </c>
      <c r="AM16" s="99">
        <f>IF(AM$9&gt;0,MIN(MAX(ASSUMPTION!$F$19*ASSUMPTION!$F$18,'MONTHLY REVENUE'!AL16*(1+ASSUMPTION!$F$20)),ASSUMPTION!$F$21),0)</f>
        <v>47.095401186687205</v>
      </c>
      <c r="AN16" s="99">
        <f>IF(AN$9&gt;0,MIN(MAX(ASSUMPTION!$F$19*ASSUMPTION!$F$18,'MONTHLY REVENUE'!AM16*(1+ASSUMPTION!$F$20)),ASSUMPTION!$F$21),0)</f>
        <v>48.03730921042095</v>
      </c>
      <c r="AO16" s="99">
        <f>IF(AO$9&gt;0,MIN(MAX(ASSUMPTION!$F$19*ASSUMPTION!$F$18,'MONTHLY REVENUE'!AN16*(1+ASSUMPTION!$F$20)),ASSUMPTION!$F$21),0)</f>
        <v>48.998055394629368</v>
      </c>
    </row>
    <row r="19" spans="1:41" x14ac:dyDescent="0.3">
      <c r="A19" s="87" t="s">
        <v>112</v>
      </c>
    </row>
    <row r="20" spans="1:41" x14ac:dyDescent="0.3">
      <c r="A20" t="s">
        <v>110</v>
      </c>
      <c r="F20" s="99">
        <f>IF(F$9&gt;0,MIN(MAX(ASSUMPTION!$C$19*ASSUMPTION!$C$18,'MONTHLY REVENUE'!E20*(1+ASSUMPTION!$C$20)),ASSUMPTION!$C$21),0)</f>
        <v>0</v>
      </c>
      <c r="G20" s="99">
        <f>IF(G$9&gt;0,MIN(MAX(ASSUMPTION!$C$19*ASSUMPTION!$C$18,'MONTHLY REVENUE'!F20*(1+ASSUMPTION!$C$20)),ASSUMPTION!$C$21),0)</f>
        <v>0</v>
      </c>
      <c r="H20" s="99">
        <f>IF(H$9&gt;0,MIN(MAX(ASSUMPTION!$C$19*ASSUMPTION!$C$18,'MONTHLY REVENUE'!G20*(1+ASSUMPTION!$C$20)),ASSUMPTION!$C$21),0)</f>
        <v>0</v>
      </c>
      <c r="I20" s="99">
        <f>IF(I$9&gt;0,MIN(MAX(ASSUMPTION!$C$19*ASSUMPTION!$C$18,'MONTHLY REVENUE'!H20*(1+ASSUMPTION!$C$20)),ASSUMPTION!$C$21),0)</f>
        <v>26</v>
      </c>
      <c r="J20" s="99">
        <f>IF(J$9&gt;0,MIN(MAX(ASSUMPTION!$C$19*ASSUMPTION!$C$18,'MONTHLY REVENUE'!I20*(1+ASSUMPTION!$C$20)),ASSUMPTION!$C$21),0)</f>
        <v>27.04</v>
      </c>
      <c r="K20" s="99">
        <f>IF(K$9&gt;0,MIN(MAX(ASSUMPTION!$C$19*ASSUMPTION!$C$18,'MONTHLY REVENUE'!J20*(1+ASSUMPTION!$C$20)),ASSUMPTION!$C$21),0)</f>
        <v>28.121600000000001</v>
      </c>
      <c r="L20" s="99">
        <f>IF(L$9&gt;0,MIN(MAX(ASSUMPTION!$C$19*ASSUMPTION!$C$18,'MONTHLY REVENUE'!K20*(1+ASSUMPTION!$C$20)),ASSUMPTION!$C$21),0)</f>
        <v>29.246464000000003</v>
      </c>
      <c r="M20" s="99">
        <f>IF(M$9&gt;0,MIN(MAX(ASSUMPTION!$C$19*ASSUMPTION!$C$18,'MONTHLY REVENUE'!L20*(1+ASSUMPTION!$C$20)),ASSUMPTION!$C$21),0)</f>
        <v>30.416322560000005</v>
      </c>
      <c r="N20" s="99">
        <f>IF(N$9&gt;0,MIN(MAX(ASSUMPTION!$C$19*ASSUMPTION!$C$18,'MONTHLY REVENUE'!M20*(1+ASSUMPTION!$C$20)),ASSUMPTION!$C$21),0)</f>
        <v>31.632975462400005</v>
      </c>
      <c r="O20" s="99">
        <f>IF(O$9&gt;0,MIN(MAX(ASSUMPTION!$C$19*ASSUMPTION!$C$18,'MONTHLY REVENUE'!N20*(1+ASSUMPTION!$C$20)),ASSUMPTION!$C$21),0)</f>
        <v>32.898294480896006</v>
      </c>
      <c r="P20" s="99">
        <f>IF(P$9&gt;0,MIN(MAX(ASSUMPTION!$C$19*ASSUMPTION!$C$18,'MONTHLY REVENUE'!O20*(1+ASSUMPTION!$C$20)),ASSUMPTION!$C$21),0)</f>
        <v>34.214226260131845</v>
      </c>
      <c r="Q20" s="99">
        <f>IF(Q$9&gt;0,MIN(MAX(ASSUMPTION!$C$19*ASSUMPTION!$C$18,'MONTHLY REVENUE'!P20*(1+ASSUMPTION!$C$20)),ASSUMPTION!$C$21),0)</f>
        <v>35.582795310537122</v>
      </c>
      <c r="R20" s="99">
        <f>IF(R$9&gt;0,MIN(MAX(ASSUMPTION!$C$19*ASSUMPTION!$C$18,'MONTHLY REVENUE'!Q20*(1+ASSUMPTION!$C$20)),ASSUMPTION!$C$21),0)</f>
        <v>37.00610712295861</v>
      </c>
      <c r="S20" s="99">
        <f>IF(S$9&gt;0,MIN(MAX(ASSUMPTION!$C$19*ASSUMPTION!$C$18,'MONTHLY REVENUE'!R20*(1+ASSUMPTION!$C$20)),ASSUMPTION!$C$21),0)</f>
        <v>38.48635140787696</v>
      </c>
      <c r="T20" s="99">
        <f>IF(T$9&gt;0,MIN(MAX(ASSUMPTION!$C$19*ASSUMPTION!$C$18,'MONTHLY REVENUE'!S20*(1+ASSUMPTION!$C$20)),ASSUMPTION!$C$21),0)</f>
        <v>40.02580546419204</v>
      </c>
      <c r="U20" s="99">
        <f>IF(U$9&gt;0,MIN(MAX(ASSUMPTION!$C$19*ASSUMPTION!$C$18,'MONTHLY REVENUE'!T20*(1+ASSUMPTION!$C$20)),ASSUMPTION!$C$21),0)</f>
        <v>41.626837682759721</v>
      </c>
      <c r="V20" s="99">
        <f>IF(V$9&gt;0,MIN(MAX(ASSUMPTION!$C$19*ASSUMPTION!$C$18,'MONTHLY REVENUE'!U20*(1+ASSUMPTION!$C$20)),ASSUMPTION!$C$21),0)</f>
        <v>43.29191119007011</v>
      </c>
      <c r="W20" s="99">
        <f>IF(W$9&gt;0,MIN(MAX(ASSUMPTION!$C$19*ASSUMPTION!$C$18,'MONTHLY REVENUE'!V20*(1+ASSUMPTION!$C$20)),ASSUMPTION!$C$21),0)</f>
        <v>45.023587637672918</v>
      </c>
      <c r="X20" s="99">
        <f>IF(X$9&gt;0,MIN(MAX(ASSUMPTION!$C$19*ASSUMPTION!$C$18,'MONTHLY REVENUE'!W20*(1+ASSUMPTION!$C$20)),ASSUMPTION!$C$21),0)</f>
        <v>46.82453114317984</v>
      </c>
      <c r="Y20" s="99">
        <f>IF(Y$9&gt;0,MIN(MAX(ASSUMPTION!$C$19*ASSUMPTION!$C$18,'MONTHLY REVENUE'!X20*(1+ASSUMPTION!$C$20)),ASSUMPTION!$C$21),0)</f>
        <v>48.697512388907036</v>
      </c>
      <c r="Z20" s="99">
        <f>IF(Z$9&gt;0,MIN(MAX(ASSUMPTION!$C$19*ASSUMPTION!$C$18,'MONTHLY REVENUE'!Y20*(1+ASSUMPTION!$C$20)),ASSUMPTION!$C$21),0)</f>
        <v>50.645412884463319</v>
      </c>
      <c r="AA20" s="99">
        <f>IF(AA$9&gt;0,MIN(MAX(ASSUMPTION!$C$19*ASSUMPTION!$C$18,'MONTHLY REVENUE'!Z20*(1+ASSUMPTION!$C$20)),ASSUMPTION!$C$21),0)</f>
        <v>52.671229399841856</v>
      </c>
      <c r="AB20" s="99">
        <f>IF(AB$9&gt;0,MIN(MAX(ASSUMPTION!$C$19*ASSUMPTION!$C$18,'MONTHLY REVENUE'!AA20*(1+ASSUMPTION!$C$20)),ASSUMPTION!$C$21),0)</f>
        <v>54.778078575835529</v>
      </c>
      <c r="AC20" s="99">
        <f>IF(AC$9&gt;0,MIN(MAX(ASSUMPTION!$C$19*ASSUMPTION!$C$18,'MONTHLY REVENUE'!AB20*(1+ASSUMPTION!$C$20)),ASSUMPTION!$C$21),0)</f>
        <v>56.969201718868952</v>
      </c>
      <c r="AD20" s="99">
        <f>IF(AD$9&gt;0,MIN(MAX(ASSUMPTION!$C$19*ASSUMPTION!$C$18,'MONTHLY REVENUE'!AC20*(1+ASSUMPTION!$C$20)),ASSUMPTION!$C$21),0)</f>
        <v>59.24796978762371</v>
      </c>
      <c r="AE20" s="99">
        <f>IF(AE$9&gt;0,MIN(MAX(ASSUMPTION!$C$19*ASSUMPTION!$C$18,'MONTHLY REVENUE'!AD20*(1+ASSUMPTION!$C$20)),ASSUMPTION!$C$21),0)</f>
        <v>61.61788857912866</v>
      </c>
      <c r="AF20" s="99">
        <f>IF(AF$9&gt;0,MIN(MAX(ASSUMPTION!$C$19*ASSUMPTION!$C$18,'MONTHLY REVENUE'!AE20*(1+ASSUMPTION!$C$20)),ASSUMPTION!$C$21),0)</f>
        <v>64.082604122293816</v>
      </c>
      <c r="AG20" s="99">
        <f>IF(AG$9&gt;0,MIN(MAX(ASSUMPTION!$C$19*ASSUMPTION!$C$18,'MONTHLY REVENUE'!AF20*(1+ASSUMPTION!$C$20)),ASSUMPTION!$C$21),0)</f>
        <v>66.645908287185577</v>
      </c>
      <c r="AH20" s="99">
        <f>IF(AH$9&gt;0,MIN(MAX(ASSUMPTION!$C$19*ASSUMPTION!$C$18,'MONTHLY REVENUE'!AG20*(1+ASSUMPTION!$C$20)),ASSUMPTION!$C$21),0)</f>
        <v>69.311744618673004</v>
      </c>
      <c r="AI20" s="99">
        <f>IF(AI$9&gt;0,MIN(MAX(ASSUMPTION!$C$19*ASSUMPTION!$C$18,'MONTHLY REVENUE'!AH20*(1+ASSUMPTION!$C$20)),ASSUMPTION!$C$21),0)</f>
        <v>72.084214403419921</v>
      </c>
      <c r="AJ20" s="99">
        <f>IF(AJ$9&gt;0,MIN(MAX(ASSUMPTION!$C$19*ASSUMPTION!$C$18,'MONTHLY REVENUE'!AI20*(1+ASSUMPTION!$C$20)),ASSUMPTION!$C$21),0)</f>
        <v>74.967582979556724</v>
      </c>
      <c r="AK20" s="99">
        <f>IF(AK$9&gt;0,MIN(MAX(ASSUMPTION!$C$19*ASSUMPTION!$C$18,'MONTHLY REVENUE'!AJ20*(1+ASSUMPTION!$C$20)),ASSUMPTION!$C$21),0)</f>
        <v>77.966286298738993</v>
      </c>
      <c r="AL20" s="99">
        <f>IF(AL$9&gt;0,MIN(MAX(ASSUMPTION!$C$19*ASSUMPTION!$C$18,'MONTHLY REVENUE'!AK20*(1+ASSUMPTION!$C$20)),ASSUMPTION!$C$21),0)</f>
        <v>80</v>
      </c>
      <c r="AM20" s="99">
        <f>IF(AM$9&gt;0,MIN(MAX(ASSUMPTION!$C$19*ASSUMPTION!$C$18,'MONTHLY REVENUE'!AL20*(1+ASSUMPTION!$C$20)),ASSUMPTION!$C$21),0)</f>
        <v>80</v>
      </c>
      <c r="AN20" s="99">
        <f>IF(AN$9&gt;0,MIN(MAX(ASSUMPTION!$C$19*ASSUMPTION!$C$18,'MONTHLY REVENUE'!AM20*(1+ASSUMPTION!$C$20)),ASSUMPTION!$C$21),0)</f>
        <v>80</v>
      </c>
      <c r="AO20" s="99">
        <f>IF(AO$9&gt;0,MIN(MAX(ASSUMPTION!$C$19*ASSUMPTION!$C$18,'MONTHLY REVENUE'!AN20*(1+ASSUMPTION!$C$20)),ASSUMPTION!$C$21),0)</f>
        <v>80</v>
      </c>
    </row>
    <row r="21" spans="1:41" x14ac:dyDescent="0.3">
      <c r="A21" t="s">
        <v>111</v>
      </c>
      <c r="F21" s="99">
        <f>IF(F$9&gt;0,MIN(MAX(ASSUMPTION!$G$19*ASSUMPTION!$G$18,'MONTHLY REVENUE'!E21*(1+ASSUMPTION!$G$20)),ASSUMPTION!$G$21),0)</f>
        <v>0</v>
      </c>
      <c r="G21" s="99">
        <f>IF(G$9&gt;0,MIN(MAX(ASSUMPTION!$G$19*ASSUMPTION!$G$18,'MONTHLY REVENUE'!F21*(1+ASSUMPTION!$G$20)),ASSUMPTION!$G$21),0)</f>
        <v>0</v>
      </c>
      <c r="H21" s="99">
        <f>IF(H$9&gt;0,MIN(MAX(ASSUMPTION!$G$19*ASSUMPTION!$G$18,'MONTHLY REVENUE'!G21*(1+ASSUMPTION!$G$20)),ASSUMPTION!$G$21),0)</f>
        <v>0</v>
      </c>
      <c r="I21" s="99">
        <f>IF(I$9&gt;0,MIN(MAX(ASSUMPTION!$G$19*ASSUMPTION!$G$18,'MONTHLY REVENUE'!H21*(1+ASSUMPTION!$G$20)),ASSUMPTION!$G$21),0)</f>
        <v>30</v>
      </c>
      <c r="J21" s="99">
        <f>IF(J$9&gt;0,MIN(MAX(ASSUMPTION!$G$19*ASSUMPTION!$G$18,'MONTHLY REVENUE'!I21*(1+ASSUMPTION!$G$20)),ASSUMPTION!$G$21),0)</f>
        <v>31.200000000000003</v>
      </c>
      <c r="K21" s="99">
        <f>IF(K$9&gt;0,MIN(MAX(ASSUMPTION!$G$19*ASSUMPTION!$G$18,'MONTHLY REVENUE'!J21*(1+ASSUMPTION!$G$20)),ASSUMPTION!$G$21),0)</f>
        <v>32.448000000000008</v>
      </c>
      <c r="L21" s="99">
        <f>IF(L$9&gt;0,MIN(MAX(ASSUMPTION!$G$19*ASSUMPTION!$G$18,'MONTHLY REVENUE'!K21*(1+ASSUMPTION!$G$20)),ASSUMPTION!$G$21),0)</f>
        <v>33.745920000000012</v>
      </c>
      <c r="M21" s="99">
        <f>IF(M$9&gt;0,MIN(MAX(ASSUMPTION!$G$19*ASSUMPTION!$G$18,'MONTHLY REVENUE'!L21*(1+ASSUMPTION!$G$20)),ASSUMPTION!$G$21),0)</f>
        <v>35.095756800000011</v>
      </c>
      <c r="N21" s="99">
        <f>IF(N$9&gt;0,MIN(MAX(ASSUMPTION!$G$19*ASSUMPTION!$G$18,'MONTHLY REVENUE'!M21*(1+ASSUMPTION!$G$20)),ASSUMPTION!$G$21),0)</f>
        <v>36.499587072000011</v>
      </c>
      <c r="O21" s="99">
        <f>IF(O$9&gt;0,MIN(MAX(ASSUMPTION!$G$19*ASSUMPTION!$G$18,'MONTHLY REVENUE'!N21*(1+ASSUMPTION!$G$20)),ASSUMPTION!$G$21),0)</f>
        <v>37.95957055488001</v>
      </c>
      <c r="P21" s="99">
        <f>IF(P$9&gt;0,MIN(MAX(ASSUMPTION!$G$19*ASSUMPTION!$G$18,'MONTHLY REVENUE'!O21*(1+ASSUMPTION!$G$20)),ASSUMPTION!$G$21),0)</f>
        <v>39.47795337707521</v>
      </c>
      <c r="Q21" s="99">
        <f>IF(Q$9&gt;0,MIN(MAX(ASSUMPTION!$G$19*ASSUMPTION!$G$18,'MONTHLY REVENUE'!P21*(1+ASSUMPTION!$G$20)),ASSUMPTION!$G$21),0)</f>
        <v>41.057071512158217</v>
      </c>
      <c r="R21" s="99">
        <f>IF(R$9&gt;0,MIN(MAX(ASSUMPTION!$G$19*ASSUMPTION!$G$18,'MONTHLY REVENUE'!Q21*(1+ASSUMPTION!$G$20)),ASSUMPTION!$G$21),0)</f>
        <v>42.699354372644549</v>
      </c>
      <c r="S21" s="99">
        <f>IF(S$9&gt;0,MIN(MAX(ASSUMPTION!$G$19*ASSUMPTION!$G$18,'MONTHLY REVENUE'!R21*(1+ASSUMPTION!$G$20)),ASSUMPTION!$G$21),0)</f>
        <v>44.407328547550335</v>
      </c>
      <c r="T21" s="99">
        <f>IF(T$9&gt;0,MIN(MAX(ASSUMPTION!$G$19*ASSUMPTION!$G$18,'MONTHLY REVENUE'!S21*(1+ASSUMPTION!$G$20)),ASSUMPTION!$G$21),0)</f>
        <v>46.183621689452352</v>
      </c>
      <c r="U21" s="99">
        <f>IF(U$9&gt;0,MIN(MAX(ASSUMPTION!$G$19*ASSUMPTION!$G$18,'MONTHLY REVENUE'!T21*(1+ASSUMPTION!$G$20)),ASSUMPTION!$G$21),0)</f>
        <v>48.030966557030446</v>
      </c>
      <c r="V21" s="99">
        <f>IF(V$9&gt;0,MIN(MAX(ASSUMPTION!$G$19*ASSUMPTION!$G$18,'MONTHLY REVENUE'!U21*(1+ASSUMPTION!$G$20)),ASSUMPTION!$G$21),0)</f>
        <v>49.952205219311665</v>
      </c>
      <c r="W21" s="99">
        <f>IF(W$9&gt;0,MIN(MAX(ASSUMPTION!$G$19*ASSUMPTION!$G$18,'MONTHLY REVENUE'!V21*(1+ASSUMPTION!$G$20)),ASSUMPTION!$G$21),0)</f>
        <v>51.95029342808413</v>
      </c>
      <c r="X21" s="99">
        <f>IF(X$9&gt;0,MIN(MAX(ASSUMPTION!$G$19*ASSUMPTION!$G$18,'MONTHLY REVENUE'!W21*(1+ASSUMPTION!$G$20)),ASSUMPTION!$G$21),0)</f>
        <v>54.028305165207499</v>
      </c>
      <c r="Y21" s="99">
        <f>IF(Y$9&gt;0,MIN(MAX(ASSUMPTION!$G$19*ASSUMPTION!$G$18,'MONTHLY REVENUE'!X21*(1+ASSUMPTION!$G$20)),ASSUMPTION!$G$21),0)</f>
        <v>56.189437371815799</v>
      </c>
      <c r="Z21" s="99">
        <f>IF(Z$9&gt;0,MIN(MAX(ASSUMPTION!$G$19*ASSUMPTION!$G$18,'MONTHLY REVENUE'!Y21*(1+ASSUMPTION!$G$20)),ASSUMPTION!$G$21),0)</f>
        <v>58.437014866688436</v>
      </c>
      <c r="AA21" s="99">
        <f>IF(AA$9&gt;0,MIN(MAX(ASSUMPTION!$G$19*ASSUMPTION!$G$18,'MONTHLY REVENUE'!Z21*(1+ASSUMPTION!$G$20)),ASSUMPTION!$G$21),0)</f>
        <v>60.774495461355976</v>
      </c>
      <c r="AB21" s="99">
        <f>IF(AB$9&gt;0,MIN(MAX(ASSUMPTION!$G$19*ASSUMPTION!$G$18,'MONTHLY REVENUE'!AA21*(1+ASSUMPTION!$G$20)),ASSUMPTION!$G$21),0)</f>
        <v>63.205475279810216</v>
      </c>
      <c r="AC21" s="99">
        <f>IF(AC$9&gt;0,MIN(MAX(ASSUMPTION!$G$19*ASSUMPTION!$G$18,'MONTHLY REVENUE'!AB21*(1+ASSUMPTION!$G$20)),ASSUMPTION!$G$21),0)</f>
        <v>65.733694291002621</v>
      </c>
      <c r="AD21" s="99">
        <f>IF(AD$9&gt;0,MIN(MAX(ASSUMPTION!$G$19*ASSUMPTION!$G$18,'MONTHLY REVENUE'!AC21*(1+ASSUMPTION!$G$20)),ASSUMPTION!$G$21),0)</f>
        <v>68.363042062642734</v>
      </c>
      <c r="AE21" s="99">
        <f>IF(AE$9&gt;0,MIN(MAX(ASSUMPTION!$G$19*ASSUMPTION!$G$18,'MONTHLY REVENUE'!AD21*(1+ASSUMPTION!$G$20)),ASSUMPTION!$G$21),0)</f>
        <v>71.097563745148449</v>
      </c>
      <c r="AF21" s="99">
        <f>IF(AF$9&gt;0,MIN(MAX(ASSUMPTION!$G$19*ASSUMPTION!$G$18,'MONTHLY REVENUE'!AE21*(1+ASSUMPTION!$G$20)),ASSUMPTION!$G$21),0)</f>
        <v>73.941466294954395</v>
      </c>
      <c r="AG21" s="99">
        <f>IF(AG$9&gt;0,MIN(MAX(ASSUMPTION!$G$19*ASSUMPTION!$G$18,'MONTHLY REVENUE'!AF21*(1+ASSUMPTION!$G$20)),ASSUMPTION!$G$21),0)</f>
        <v>76.899124946752579</v>
      </c>
      <c r="AH21" s="99">
        <f>IF(AH$9&gt;0,MIN(MAX(ASSUMPTION!$G$19*ASSUMPTION!$G$18,'MONTHLY REVENUE'!AG21*(1+ASSUMPTION!$G$20)),ASSUMPTION!$G$21),0)</f>
        <v>79.975089944622681</v>
      </c>
      <c r="AI21" s="99">
        <f>IF(AI$9&gt;0,MIN(MAX(ASSUMPTION!$G$19*ASSUMPTION!$G$18,'MONTHLY REVENUE'!AH21*(1+ASSUMPTION!$G$20)),ASSUMPTION!$G$21),0)</f>
        <v>83.17409354240759</v>
      </c>
      <c r="AJ21" s="99">
        <f>IF(AJ$9&gt;0,MIN(MAX(ASSUMPTION!$G$19*ASSUMPTION!$G$18,'MONTHLY REVENUE'!AI21*(1+ASSUMPTION!$G$20)),ASSUMPTION!$G$21),0)</f>
        <v>86.501057284103894</v>
      </c>
      <c r="AK21" s="99">
        <f>IF(AK$9&gt;0,MIN(MAX(ASSUMPTION!$G$19*ASSUMPTION!$G$18,'MONTHLY REVENUE'!AJ21*(1+ASSUMPTION!$G$20)),ASSUMPTION!$G$21),0)</f>
        <v>89.961099575468054</v>
      </c>
      <c r="AL21" s="99">
        <f>IF(AL$9&gt;0,MIN(MAX(ASSUMPTION!$G$19*ASSUMPTION!$G$18,'MONTHLY REVENUE'!AK21*(1+ASSUMPTION!$G$20)),ASSUMPTION!$G$21),0)</f>
        <v>90</v>
      </c>
      <c r="AM21" s="99">
        <f>IF(AM$9&gt;0,MIN(MAX(ASSUMPTION!$G$19*ASSUMPTION!$G$18,'MONTHLY REVENUE'!AL21*(1+ASSUMPTION!$G$20)),ASSUMPTION!$G$21),0)</f>
        <v>90</v>
      </c>
      <c r="AN21" s="99">
        <f>IF(AN$9&gt;0,MIN(MAX(ASSUMPTION!$G$19*ASSUMPTION!$G$18,'MONTHLY REVENUE'!AM21*(1+ASSUMPTION!$G$20)),ASSUMPTION!$G$21),0)</f>
        <v>90</v>
      </c>
      <c r="AO21" s="99">
        <f>IF(AO$9&gt;0,MIN(MAX(ASSUMPTION!$G$19*ASSUMPTION!$G$18,'MONTHLY REVENUE'!AN21*(1+ASSUMPTION!$G$20)),ASSUMPTION!$G$21),0)</f>
        <v>90</v>
      </c>
    </row>
    <row r="23" spans="1:41" x14ac:dyDescent="0.3">
      <c r="A23" s="93" t="s">
        <v>11</v>
      </c>
    </row>
    <row r="24" spans="1:41" x14ac:dyDescent="0.3">
      <c r="A24" s="114" t="s">
        <v>109</v>
      </c>
    </row>
    <row r="25" spans="1:41" x14ac:dyDescent="0.3">
      <c r="A25" s="87" t="s">
        <v>110</v>
      </c>
    </row>
    <row r="26" spans="1:41" x14ac:dyDescent="0.3">
      <c r="A26" s="31" t="s">
        <v>12</v>
      </c>
      <c r="F26" s="99">
        <f>IF(MOD(F$7,12)=4,MAX(E26*(1+ASSUMPTION!$B$14),ASSUMPTION!$B$11),'MONTHLY REVENUE'!E26)</f>
        <v>0</v>
      </c>
      <c r="G26" s="99">
        <f>IF(MOD(G$7,12)=4,MAX(F26*(1+ASSUMPTION!$B$14),ASSUMPTION!$B$11),'MONTHLY REVENUE'!F26)</f>
        <v>0</v>
      </c>
      <c r="H26" s="99">
        <f>IF(MOD(H$7,12)=4,MAX(G26*(1+ASSUMPTION!$B$14),ASSUMPTION!$B$11),'MONTHLY REVENUE'!G26)</f>
        <v>0</v>
      </c>
      <c r="I26" s="99">
        <f>IF(MOD(I$7,12)=4,MAX(H26*(1+ASSUMPTION!$B$14),ASSUMPTION!$B$11),'MONTHLY REVENUE'!H26)</f>
        <v>300</v>
      </c>
      <c r="J26" s="99">
        <f>IF(MOD(J$7,12)=4,MAX(I26*(1+ASSUMPTION!$B$14),ASSUMPTION!$B$11),'MONTHLY REVENUE'!I26)</f>
        <v>300</v>
      </c>
      <c r="K26" s="99">
        <f>IF(MOD(K$7,12)=4,MAX(J26*(1+ASSUMPTION!$B$14),ASSUMPTION!$B$11),'MONTHLY REVENUE'!J26)</f>
        <v>300</v>
      </c>
      <c r="L26" s="99">
        <f>IF(MOD(L$7,12)=4,MAX(K26*(1+ASSUMPTION!$B$14),ASSUMPTION!$B$11),'MONTHLY REVENUE'!K26)</f>
        <v>300</v>
      </c>
      <c r="M26" s="99">
        <f>IF(MOD(M$7,12)=4,MAX(L26*(1+ASSUMPTION!$B$14),ASSUMPTION!$B$11),'MONTHLY REVENUE'!L26)</f>
        <v>300</v>
      </c>
      <c r="N26" s="99">
        <f>IF(MOD(N$7,12)=4,MAX(M26*(1+ASSUMPTION!$B$14),ASSUMPTION!$B$11),'MONTHLY REVENUE'!M26)</f>
        <v>300</v>
      </c>
      <c r="O26" s="99">
        <f>IF(MOD(O$7,12)=4,MAX(N26*(1+ASSUMPTION!$B$14),ASSUMPTION!$B$11),'MONTHLY REVENUE'!N26)</f>
        <v>300</v>
      </c>
      <c r="P26" s="99">
        <f>IF(MOD(P$7,12)=4,MAX(O26*(1+ASSUMPTION!$B$14),ASSUMPTION!$B$11),'MONTHLY REVENUE'!O26)</f>
        <v>300</v>
      </c>
      <c r="Q26" s="99">
        <f>IF(MOD(Q$7,12)=4,MAX(P26*(1+ASSUMPTION!$B$14),ASSUMPTION!$B$11),'MONTHLY REVENUE'!P26)</f>
        <v>300</v>
      </c>
      <c r="R26" s="99">
        <f>IF(MOD(R$7,12)=4,MAX(Q26*(1+ASSUMPTION!$B$14),ASSUMPTION!$B$11),'MONTHLY REVENUE'!Q26)</f>
        <v>300</v>
      </c>
      <c r="S26" s="99">
        <f>IF(MOD(S$7,12)=4,MAX(R26*(1+ASSUMPTION!$B$14),ASSUMPTION!$B$11),'MONTHLY REVENUE'!R26)</f>
        <v>300</v>
      </c>
      <c r="T26" s="99">
        <f>IF(MOD(T$7,12)=4,MAX(S26*(1+ASSUMPTION!$B$14),ASSUMPTION!$B$11),'MONTHLY REVENUE'!S26)</f>
        <v>300</v>
      </c>
      <c r="U26" s="99">
        <f>IF(MOD(U$7,12)=4,MAX(T26*(1+ASSUMPTION!$B$14),ASSUMPTION!$B$11),'MONTHLY REVENUE'!T26)</f>
        <v>315</v>
      </c>
      <c r="V26" s="99">
        <f>IF(MOD(V$7,12)=4,MAX(U26*(1+ASSUMPTION!$B$14),ASSUMPTION!$B$11),'MONTHLY REVENUE'!U26)</f>
        <v>315</v>
      </c>
      <c r="W26" s="99">
        <f>IF(MOD(W$7,12)=4,MAX(V26*(1+ASSUMPTION!$B$14),ASSUMPTION!$B$11),'MONTHLY REVENUE'!V26)</f>
        <v>315</v>
      </c>
      <c r="X26" s="99">
        <f>IF(MOD(X$7,12)=4,MAX(W26*(1+ASSUMPTION!$B$14),ASSUMPTION!$B$11),'MONTHLY REVENUE'!W26)</f>
        <v>315</v>
      </c>
      <c r="Y26" s="99">
        <f>IF(MOD(Y$7,12)=4,MAX(X26*(1+ASSUMPTION!$B$14),ASSUMPTION!$B$11),'MONTHLY REVENUE'!X26)</f>
        <v>315</v>
      </c>
      <c r="Z26" s="99">
        <f>IF(MOD(Z$7,12)=4,MAX(Y26*(1+ASSUMPTION!$B$14),ASSUMPTION!$B$11),'MONTHLY REVENUE'!Y26)</f>
        <v>315</v>
      </c>
      <c r="AA26" s="99">
        <f>IF(MOD(AA$7,12)=4,MAX(Z26*(1+ASSUMPTION!$B$14),ASSUMPTION!$B$11),'MONTHLY REVENUE'!Z26)</f>
        <v>315</v>
      </c>
      <c r="AB26" s="99">
        <f>IF(MOD(AB$7,12)=4,MAX(AA26*(1+ASSUMPTION!$B$14),ASSUMPTION!$B$11),'MONTHLY REVENUE'!AA26)</f>
        <v>315</v>
      </c>
      <c r="AC26" s="99">
        <f>IF(MOD(AC$7,12)=4,MAX(AB26*(1+ASSUMPTION!$B$14),ASSUMPTION!$B$11),'MONTHLY REVENUE'!AB26)</f>
        <v>315</v>
      </c>
      <c r="AD26" s="99">
        <f>IF(MOD(AD$7,12)=4,MAX(AC26*(1+ASSUMPTION!$B$14),ASSUMPTION!$B$11),'MONTHLY REVENUE'!AC26)</f>
        <v>315</v>
      </c>
      <c r="AE26" s="99">
        <f>IF(MOD(AE$7,12)=4,MAX(AD26*(1+ASSUMPTION!$B$14),ASSUMPTION!$B$11),'MONTHLY REVENUE'!AD26)</f>
        <v>315</v>
      </c>
      <c r="AF26" s="99">
        <f>IF(MOD(AF$7,12)=4,MAX(AE26*(1+ASSUMPTION!$B$14),ASSUMPTION!$B$11),'MONTHLY REVENUE'!AE26)</f>
        <v>315</v>
      </c>
      <c r="AG26" s="99">
        <f>IF(MOD(AG$7,12)=4,MAX(AF26*(1+ASSUMPTION!$B$14),ASSUMPTION!$B$11),'MONTHLY REVENUE'!AF26)</f>
        <v>330.75</v>
      </c>
      <c r="AH26" s="99">
        <f>IF(MOD(AH$7,12)=4,MAX(AG26*(1+ASSUMPTION!$B$14),ASSUMPTION!$B$11),'MONTHLY REVENUE'!AG26)</f>
        <v>330.75</v>
      </c>
      <c r="AI26" s="99">
        <f>IF(MOD(AI$7,12)=4,MAX(AH26*(1+ASSUMPTION!$B$14),ASSUMPTION!$B$11),'MONTHLY REVENUE'!AH26)</f>
        <v>330.75</v>
      </c>
      <c r="AJ26" s="99">
        <f>IF(MOD(AJ$7,12)=4,MAX(AI26*(1+ASSUMPTION!$B$14),ASSUMPTION!$B$11),'MONTHLY REVENUE'!AI26)</f>
        <v>330.75</v>
      </c>
      <c r="AK26" s="99">
        <f>IF(MOD(AK$7,12)=4,MAX(AJ26*(1+ASSUMPTION!$B$14),ASSUMPTION!$B$11),'MONTHLY REVENUE'!AJ26)</f>
        <v>330.75</v>
      </c>
      <c r="AL26" s="99">
        <f>IF(MOD(AL$7,12)=4,MAX(AK26*(1+ASSUMPTION!$B$14),ASSUMPTION!$B$11),'MONTHLY REVENUE'!AK26)</f>
        <v>330.75</v>
      </c>
      <c r="AM26" s="99">
        <f>IF(MOD(AM$7,12)=4,MAX(AL26*(1+ASSUMPTION!$B$14),ASSUMPTION!$B$11),'MONTHLY REVENUE'!AL26)</f>
        <v>330.75</v>
      </c>
      <c r="AN26" s="99">
        <f>IF(MOD(AN$7,12)=4,MAX(AM26*(1+ASSUMPTION!$B$14),ASSUMPTION!$B$11),'MONTHLY REVENUE'!AM26)</f>
        <v>330.75</v>
      </c>
      <c r="AO26" s="99">
        <f>IF(MOD(AO$7,12)=4,MAX(AN26*(1+ASSUMPTION!$B$14),ASSUMPTION!$B$11),'MONTHLY REVENUE'!AN26)</f>
        <v>330.75</v>
      </c>
    </row>
    <row r="27" spans="1:41" x14ac:dyDescent="0.3">
      <c r="A27" s="31" t="s">
        <v>13</v>
      </c>
      <c r="F27" s="99">
        <f>IF(MOD(F$7,12)=4,MAX(E27*(1+ASSUMPTION!$B$14),ASSUMPTION!$B$12),'MONTHLY REVENUE'!E27)</f>
        <v>0</v>
      </c>
      <c r="G27" s="99">
        <f>IF(MOD(G$7,12)=4,MAX(F27*(1+ASSUMPTION!$B$14),ASSUMPTION!$B$12),'MONTHLY REVENUE'!F27)</f>
        <v>0</v>
      </c>
      <c r="H27" s="99">
        <f>IF(MOD(H$7,12)=4,MAX(G27*(1+ASSUMPTION!$B$14),ASSUMPTION!$B$12),'MONTHLY REVENUE'!G27)</f>
        <v>0</v>
      </c>
      <c r="I27" s="99">
        <f>IF(MOD(I$7,12)=4,MAX(H27*(1+ASSUMPTION!$B$14),ASSUMPTION!$B$12),'MONTHLY REVENUE'!H27)</f>
        <v>200</v>
      </c>
      <c r="J27" s="99">
        <f>IF(MOD(J$7,12)=4,MAX(I27*(1+ASSUMPTION!$B$14),ASSUMPTION!$B$12),'MONTHLY REVENUE'!I27)</f>
        <v>200</v>
      </c>
      <c r="K27" s="99">
        <f>IF(MOD(K$7,12)=4,MAX(J27*(1+ASSUMPTION!$B$14),ASSUMPTION!$B$12),'MONTHLY REVENUE'!J27)</f>
        <v>200</v>
      </c>
      <c r="L27" s="99">
        <f>IF(MOD(L$7,12)=4,MAX(K27*(1+ASSUMPTION!$B$14),ASSUMPTION!$B$12),'MONTHLY REVENUE'!K27)</f>
        <v>200</v>
      </c>
      <c r="M27" s="99">
        <f>IF(MOD(M$7,12)=4,MAX(L27*(1+ASSUMPTION!$B$14),ASSUMPTION!$B$12),'MONTHLY REVENUE'!L27)</f>
        <v>200</v>
      </c>
      <c r="N27" s="99">
        <f>IF(MOD(N$7,12)=4,MAX(M27*(1+ASSUMPTION!$B$14),ASSUMPTION!$B$12),'MONTHLY REVENUE'!M27)</f>
        <v>200</v>
      </c>
      <c r="O27" s="99">
        <f>IF(MOD(O$7,12)=4,MAX(N27*(1+ASSUMPTION!$B$14),ASSUMPTION!$B$12),'MONTHLY REVENUE'!N27)</f>
        <v>200</v>
      </c>
      <c r="P27" s="99">
        <f>IF(MOD(P$7,12)=4,MAX(O27*(1+ASSUMPTION!$B$14),ASSUMPTION!$B$12),'MONTHLY REVENUE'!O27)</f>
        <v>200</v>
      </c>
      <c r="Q27" s="99">
        <f>IF(MOD(Q$7,12)=4,MAX(P27*(1+ASSUMPTION!$B$14),ASSUMPTION!$B$12),'MONTHLY REVENUE'!P27)</f>
        <v>200</v>
      </c>
      <c r="R27" s="99">
        <f>IF(MOD(R$7,12)=4,MAX(Q27*(1+ASSUMPTION!$B$14),ASSUMPTION!$B$12),'MONTHLY REVENUE'!Q27)</f>
        <v>200</v>
      </c>
      <c r="S27" s="99">
        <f>IF(MOD(S$7,12)=4,MAX(R27*(1+ASSUMPTION!$B$14),ASSUMPTION!$B$12),'MONTHLY REVENUE'!R27)</f>
        <v>200</v>
      </c>
      <c r="T27" s="99">
        <f>IF(MOD(T$7,12)=4,MAX(S27*(1+ASSUMPTION!$B$14),ASSUMPTION!$B$12),'MONTHLY REVENUE'!S27)</f>
        <v>200</v>
      </c>
      <c r="U27" s="99">
        <f>IF(MOD(U$7,12)=4,MAX(T27*(1+ASSUMPTION!$B$14),ASSUMPTION!$B$12),'MONTHLY REVENUE'!T27)</f>
        <v>210</v>
      </c>
      <c r="V27" s="99">
        <f>IF(MOD(V$7,12)=4,MAX(U27*(1+ASSUMPTION!$B$14),ASSUMPTION!$B$12),'MONTHLY REVENUE'!U27)</f>
        <v>210</v>
      </c>
      <c r="W27" s="99">
        <f>IF(MOD(W$7,12)=4,MAX(V27*(1+ASSUMPTION!$B$14),ASSUMPTION!$B$12),'MONTHLY REVENUE'!V27)</f>
        <v>210</v>
      </c>
      <c r="X27" s="99">
        <f>IF(MOD(X$7,12)=4,MAX(W27*(1+ASSUMPTION!$B$14),ASSUMPTION!$B$12),'MONTHLY REVENUE'!W27)</f>
        <v>210</v>
      </c>
      <c r="Y27" s="99">
        <f>IF(MOD(Y$7,12)=4,MAX(X27*(1+ASSUMPTION!$B$14),ASSUMPTION!$B$12),'MONTHLY REVENUE'!X27)</f>
        <v>210</v>
      </c>
      <c r="Z27" s="99">
        <f>IF(MOD(Z$7,12)=4,MAX(Y27*(1+ASSUMPTION!$B$14),ASSUMPTION!$B$12),'MONTHLY REVENUE'!Y27)</f>
        <v>210</v>
      </c>
      <c r="AA27" s="99">
        <f>IF(MOD(AA$7,12)=4,MAX(Z27*(1+ASSUMPTION!$B$14),ASSUMPTION!$B$12),'MONTHLY REVENUE'!Z27)</f>
        <v>210</v>
      </c>
      <c r="AB27" s="99">
        <f>IF(MOD(AB$7,12)=4,MAX(AA27*(1+ASSUMPTION!$B$14),ASSUMPTION!$B$12),'MONTHLY REVENUE'!AA27)</f>
        <v>210</v>
      </c>
      <c r="AC27" s="99">
        <f>IF(MOD(AC$7,12)=4,MAX(AB27*(1+ASSUMPTION!$B$14),ASSUMPTION!$B$12),'MONTHLY REVENUE'!AB27)</f>
        <v>210</v>
      </c>
      <c r="AD27" s="99">
        <f>IF(MOD(AD$7,12)=4,MAX(AC27*(1+ASSUMPTION!$B$14),ASSUMPTION!$B$12),'MONTHLY REVENUE'!AC27)</f>
        <v>210</v>
      </c>
      <c r="AE27" s="99">
        <f>IF(MOD(AE$7,12)=4,MAX(AD27*(1+ASSUMPTION!$B$14),ASSUMPTION!$B$12),'MONTHLY REVENUE'!AD27)</f>
        <v>210</v>
      </c>
      <c r="AF27" s="99">
        <f>IF(MOD(AF$7,12)=4,MAX(AE27*(1+ASSUMPTION!$B$14),ASSUMPTION!$B$12),'MONTHLY REVENUE'!AE27)</f>
        <v>210</v>
      </c>
      <c r="AG27" s="99">
        <f>IF(MOD(AG$7,12)=4,MAX(AF27*(1+ASSUMPTION!$B$14),ASSUMPTION!$B$12),'MONTHLY REVENUE'!AF27)</f>
        <v>220.5</v>
      </c>
      <c r="AH27" s="99">
        <f>IF(MOD(AH$7,12)=4,MAX(AG27*(1+ASSUMPTION!$B$14),ASSUMPTION!$B$12),'MONTHLY REVENUE'!AG27)</f>
        <v>220.5</v>
      </c>
      <c r="AI27" s="99">
        <f>IF(MOD(AI$7,12)=4,MAX(AH27*(1+ASSUMPTION!$B$14),ASSUMPTION!$B$12),'MONTHLY REVENUE'!AH27)</f>
        <v>220.5</v>
      </c>
      <c r="AJ27" s="99">
        <f>IF(MOD(AJ$7,12)=4,MAX(AI27*(1+ASSUMPTION!$B$14),ASSUMPTION!$B$12),'MONTHLY REVENUE'!AI27)</f>
        <v>220.5</v>
      </c>
      <c r="AK27" s="99">
        <f>IF(MOD(AK$7,12)=4,MAX(AJ27*(1+ASSUMPTION!$B$14),ASSUMPTION!$B$12),'MONTHLY REVENUE'!AJ27)</f>
        <v>220.5</v>
      </c>
      <c r="AL27" s="99">
        <f>IF(MOD(AL$7,12)=4,MAX(AK27*(1+ASSUMPTION!$B$14),ASSUMPTION!$B$12),'MONTHLY REVENUE'!AK27)</f>
        <v>220.5</v>
      </c>
      <c r="AM27" s="99">
        <f>IF(MOD(AM$7,12)=4,MAX(AL27*(1+ASSUMPTION!$B$14),ASSUMPTION!$B$12),'MONTHLY REVENUE'!AL27)</f>
        <v>220.5</v>
      </c>
      <c r="AN27" s="99">
        <f>IF(MOD(AN$7,12)=4,MAX(AM27*(1+ASSUMPTION!$B$14),ASSUMPTION!$B$12),'MONTHLY REVENUE'!AM27)</f>
        <v>220.5</v>
      </c>
      <c r="AO27" s="99">
        <f>IF(MOD(AO$7,12)=4,MAX(AN27*(1+ASSUMPTION!$B$14),ASSUMPTION!$B$12),'MONTHLY REVENUE'!AN27)</f>
        <v>220.5</v>
      </c>
    </row>
    <row r="28" spans="1:41" x14ac:dyDescent="0.3">
      <c r="A28" s="31" t="s">
        <v>14</v>
      </c>
      <c r="F28" s="99">
        <f>IF(MOD(F$7,12)=4,MAX(E28*(1+ASSUMPTION!$B$14),ASSUMPTION!$B$13),'MONTHLY REVENUE'!E28)</f>
        <v>0</v>
      </c>
      <c r="G28" s="99">
        <f>IF(MOD(G$7,12)=4,MAX(F28*(1+ASSUMPTION!$B$14),ASSUMPTION!$B$13),'MONTHLY REVENUE'!F28)</f>
        <v>0</v>
      </c>
      <c r="H28" s="99">
        <f>IF(MOD(H$7,12)=4,MAX(G28*(1+ASSUMPTION!$B$14),ASSUMPTION!$B$13),'MONTHLY REVENUE'!G28)</f>
        <v>0</v>
      </c>
      <c r="I28" s="99">
        <f>IF(MOD(I$7,12)=4,MAX(H28*(1+ASSUMPTION!$B$14),ASSUMPTION!$B$13),'MONTHLY REVENUE'!H28)</f>
        <v>1000</v>
      </c>
      <c r="J28" s="99">
        <f>IF(MOD(J$7,12)=4,MAX(I28*(1+ASSUMPTION!$B$14),ASSUMPTION!$B$13),'MONTHLY REVENUE'!I28)</f>
        <v>1000</v>
      </c>
      <c r="K28" s="99">
        <f>IF(MOD(K$7,12)=4,MAX(J28*(1+ASSUMPTION!$B$14),ASSUMPTION!$B$13),'MONTHLY REVENUE'!J28)</f>
        <v>1000</v>
      </c>
      <c r="L28" s="99">
        <f>IF(MOD(L$7,12)=4,MAX(K28*(1+ASSUMPTION!$B$14),ASSUMPTION!$B$13),'MONTHLY REVENUE'!K28)</f>
        <v>1000</v>
      </c>
      <c r="M28" s="99">
        <f>IF(MOD(M$7,12)=4,MAX(L28*(1+ASSUMPTION!$B$14),ASSUMPTION!$B$13),'MONTHLY REVENUE'!L28)</f>
        <v>1000</v>
      </c>
      <c r="N28" s="99">
        <f>IF(MOD(N$7,12)=4,MAX(M28*(1+ASSUMPTION!$B$14),ASSUMPTION!$B$13),'MONTHLY REVENUE'!M28)</f>
        <v>1000</v>
      </c>
      <c r="O28" s="99">
        <f>IF(MOD(O$7,12)=4,MAX(N28*(1+ASSUMPTION!$B$14),ASSUMPTION!$B$13),'MONTHLY REVENUE'!N28)</f>
        <v>1000</v>
      </c>
      <c r="P28" s="99">
        <f>IF(MOD(P$7,12)=4,MAX(O28*(1+ASSUMPTION!$B$14),ASSUMPTION!$B$13),'MONTHLY REVENUE'!O28)</f>
        <v>1000</v>
      </c>
      <c r="Q28" s="99">
        <f>IF(MOD(Q$7,12)=4,MAX(P28*(1+ASSUMPTION!$B$14),ASSUMPTION!$B$13),'MONTHLY REVENUE'!P28)</f>
        <v>1000</v>
      </c>
      <c r="R28" s="99">
        <f>IF(MOD(R$7,12)=4,MAX(Q28*(1+ASSUMPTION!$B$14),ASSUMPTION!$B$13),'MONTHLY REVENUE'!Q28)</f>
        <v>1000</v>
      </c>
      <c r="S28" s="99">
        <f>IF(MOD(S$7,12)=4,MAX(R28*(1+ASSUMPTION!$B$14),ASSUMPTION!$B$13),'MONTHLY REVENUE'!R28)</f>
        <v>1000</v>
      </c>
      <c r="T28" s="99">
        <f>IF(MOD(T$7,12)=4,MAX(S28*(1+ASSUMPTION!$B$14),ASSUMPTION!$B$13),'MONTHLY REVENUE'!S28)</f>
        <v>1000</v>
      </c>
      <c r="U28" s="99">
        <f>IF(MOD(U$7,12)=4,MAX(T28*(1+ASSUMPTION!$B$14),ASSUMPTION!$B$13),'MONTHLY REVENUE'!T28)</f>
        <v>1050</v>
      </c>
      <c r="V28" s="99">
        <f>IF(MOD(V$7,12)=4,MAX(U28*(1+ASSUMPTION!$B$14),ASSUMPTION!$B$13),'MONTHLY REVENUE'!U28)</f>
        <v>1050</v>
      </c>
      <c r="W28" s="99">
        <f>IF(MOD(W$7,12)=4,MAX(V28*(1+ASSUMPTION!$B$14),ASSUMPTION!$B$13),'MONTHLY REVENUE'!V28)</f>
        <v>1050</v>
      </c>
      <c r="X28" s="99">
        <f>IF(MOD(X$7,12)=4,MAX(W28*(1+ASSUMPTION!$B$14),ASSUMPTION!$B$13),'MONTHLY REVENUE'!W28)</f>
        <v>1050</v>
      </c>
      <c r="Y28" s="99">
        <f>IF(MOD(Y$7,12)=4,MAX(X28*(1+ASSUMPTION!$B$14),ASSUMPTION!$B$13),'MONTHLY REVENUE'!X28)</f>
        <v>1050</v>
      </c>
      <c r="Z28" s="99">
        <f>IF(MOD(Z$7,12)=4,MAX(Y28*(1+ASSUMPTION!$B$14),ASSUMPTION!$B$13),'MONTHLY REVENUE'!Y28)</f>
        <v>1050</v>
      </c>
      <c r="AA28" s="99">
        <f>IF(MOD(AA$7,12)=4,MAX(Z28*(1+ASSUMPTION!$B$14),ASSUMPTION!$B$13),'MONTHLY REVENUE'!Z28)</f>
        <v>1050</v>
      </c>
      <c r="AB28" s="99">
        <f>IF(MOD(AB$7,12)=4,MAX(AA28*(1+ASSUMPTION!$B$14),ASSUMPTION!$B$13),'MONTHLY REVENUE'!AA28)</f>
        <v>1050</v>
      </c>
      <c r="AC28" s="99">
        <f>IF(MOD(AC$7,12)=4,MAX(AB28*(1+ASSUMPTION!$B$14),ASSUMPTION!$B$13),'MONTHLY REVENUE'!AB28)</f>
        <v>1050</v>
      </c>
      <c r="AD28" s="99">
        <f>IF(MOD(AD$7,12)=4,MAX(AC28*(1+ASSUMPTION!$B$14),ASSUMPTION!$B$13),'MONTHLY REVENUE'!AC28)</f>
        <v>1050</v>
      </c>
      <c r="AE28" s="99">
        <f>IF(MOD(AE$7,12)=4,MAX(AD28*(1+ASSUMPTION!$B$14),ASSUMPTION!$B$13),'MONTHLY REVENUE'!AD28)</f>
        <v>1050</v>
      </c>
      <c r="AF28" s="99">
        <f>IF(MOD(AF$7,12)=4,MAX(AE28*(1+ASSUMPTION!$B$14),ASSUMPTION!$B$13),'MONTHLY REVENUE'!AE28)</f>
        <v>1050</v>
      </c>
      <c r="AG28" s="99">
        <f>IF(MOD(AG$7,12)=4,MAX(AF28*(1+ASSUMPTION!$B$14),ASSUMPTION!$B$13),'MONTHLY REVENUE'!AF28)</f>
        <v>1102.5</v>
      </c>
      <c r="AH28" s="99">
        <f>IF(MOD(AH$7,12)=4,MAX(AG28*(1+ASSUMPTION!$B$14),ASSUMPTION!$B$13),'MONTHLY REVENUE'!AG28)</f>
        <v>1102.5</v>
      </c>
      <c r="AI28" s="99">
        <f>IF(MOD(AI$7,12)=4,MAX(AH28*(1+ASSUMPTION!$B$14),ASSUMPTION!$B$13),'MONTHLY REVENUE'!AH28)</f>
        <v>1102.5</v>
      </c>
      <c r="AJ28" s="99">
        <f>IF(MOD(AJ$7,12)=4,MAX(AI28*(1+ASSUMPTION!$B$14),ASSUMPTION!$B$13),'MONTHLY REVENUE'!AI28)</f>
        <v>1102.5</v>
      </c>
      <c r="AK28" s="99">
        <f>IF(MOD(AK$7,12)=4,MAX(AJ28*(1+ASSUMPTION!$B$14),ASSUMPTION!$B$13),'MONTHLY REVENUE'!AJ28)</f>
        <v>1102.5</v>
      </c>
      <c r="AL28" s="99">
        <f>IF(MOD(AL$7,12)=4,MAX(AK28*(1+ASSUMPTION!$B$14),ASSUMPTION!$B$13),'MONTHLY REVENUE'!AK28)</f>
        <v>1102.5</v>
      </c>
      <c r="AM28" s="99">
        <f>IF(MOD(AM$7,12)=4,MAX(AL28*(1+ASSUMPTION!$B$14),ASSUMPTION!$B$13),'MONTHLY REVENUE'!AL28)</f>
        <v>1102.5</v>
      </c>
      <c r="AN28" s="99">
        <f>IF(MOD(AN$7,12)=4,MAX(AM28*(1+ASSUMPTION!$B$14),ASSUMPTION!$B$13),'MONTHLY REVENUE'!AM28)</f>
        <v>1102.5</v>
      </c>
      <c r="AO28" s="99">
        <f>IF(MOD(AO$7,12)=4,MAX(AN28*(1+ASSUMPTION!$B$14),ASSUMPTION!$B$13),'MONTHLY REVENUE'!AN28)</f>
        <v>1102.5</v>
      </c>
    </row>
    <row r="29" spans="1:41" s="113" customFormat="1" x14ac:dyDescent="0.3">
      <c r="A29" s="110" t="s">
        <v>114</v>
      </c>
      <c r="B29" s="112"/>
      <c r="C29" s="112"/>
      <c r="D29" s="112"/>
      <c r="E29" s="112"/>
      <c r="F29" s="108">
        <f>SUM(F26:F28)</f>
        <v>0</v>
      </c>
      <c r="G29" s="108">
        <f t="shared" ref="G29:AO29" si="4">SUM(G26:G28)</f>
        <v>0</v>
      </c>
      <c r="H29" s="108">
        <f t="shared" si="4"/>
        <v>0</v>
      </c>
      <c r="I29" s="108">
        <f t="shared" si="4"/>
        <v>1500</v>
      </c>
      <c r="J29" s="108">
        <f t="shared" si="4"/>
        <v>1500</v>
      </c>
      <c r="K29" s="108">
        <f t="shared" si="4"/>
        <v>1500</v>
      </c>
      <c r="L29" s="108">
        <f t="shared" si="4"/>
        <v>1500</v>
      </c>
      <c r="M29" s="108">
        <f t="shared" si="4"/>
        <v>1500</v>
      </c>
      <c r="N29" s="108">
        <f t="shared" si="4"/>
        <v>1500</v>
      </c>
      <c r="O29" s="108">
        <f t="shared" si="4"/>
        <v>1500</v>
      </c>
      <c r="P29" s="108">
        <f t="shared" si="4"/>
        <v>1500</v>
      </c>
      <c r="Q29" s="108">
        <f t="shared" si="4"/>
        <v>1500</v>
      </c>
      <c r="R29" s="108">
        <f t="shared" si="4"/>
        <v>1500</v>
      </c>
      <c r="S29" s="108">
        <f t="shared" si="4"/>
        <v>1500</v>
      </c>
      <c r="T29" s="108">
        <f t="shared" si="4"/>
        <v>1500</v>
      </c>
      <c r="U29" s="108">
        <f t="shared" si="4"/>
        <v>1575</v>
      </c>
      <c r="V29" s="108">
        <f t="shared" si="4"/>
        <v>1575</v>
      </c>
      <c r="W29" s="108">
        <f t="shared" si="4"/>
        <v>1575</v>
      </c>
      <c r="X29" s="108">
        <f t="shared" si="4"/>
        <v>1575</v>
      </c>
      <c r="Y29" s="108">
        <f t="shared" si="4"/>
        <v>1575</v>
      </c>
      <c r="Z29" s="108">
        <f t="shared" si="4"/>
        <v>1575</v>
      </c>
      <c r="AA29" s="108">
        <f t="shared" si="4"/>
        <v>1575</v>
      </c>
      <c r="AB29" s="108">
        <f t="shared" si="4"/>
        <v>1575</v>
      </c>
      <c r="AC29" s="108">
        <f t="shared" si="4"/>
        <v>1575</v>
      </c>
      <c r="AD29" s="108">
        <f t="shared" si="4"/>
        <v>1575</v>
      </c>
      <c r="AE29" s="108">
        <f t="shared" si="4"/>
        <v>1575</v>
      </c>
      <c r="AF29" s="108">
        <f t="shared" si="4"/>
        <v>1575</v>
      </c>
      <c r="AG29" s="108">
        <f t="shared" si="4"/>
        <v>1653.75</v>
      </c>
      <c r="AH29" s="108">
        <f t="shared" si="4"/>
        <v>1653.75</v>
      </c>
      <c r="AI29" s="108">
        <f t="shared" si="4"/>
        <v>1653.75</v>
      </c>
      <c r="AJ29" s="108">
        <f t="shared" si="4"/>
        <v>1653.75</v>
      </c>
      <c r="AK29" s="108">
        <f t="shared" si="4"/>
        <v>1653.75</v>
      </c>
      <c r="AL29" s="108">
        <f t="shared" si="4"/>
        <v>1653.75</v>
      </c>
      <c r="AM29" s="108">
        <f t="shared" si="4"/>
        <v>1653.75</v>
      </c>
      <c r="AN29" s="108">
        <f t="shared" si="4"/>
        <v>1653.75</v>
      </c>
      <c r="AO29" s="108">
        <f t="shared" si="4"/>
        <v>1653.75</v>
      </c>
    </row>
    <row r="30" spans="1:41" s="118" customFormat="1" x14ac:dyDescent="0.3">
      <c r="A30" s="105"/>
      <c r="B30" s="116"/>
      <c r="C30" s="116"/>
      <c r="D30" s="116"/>
      <c r="E30" s="116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</row>
    <row r="31" spans="1:41" x14ac:dyDescent="0.3">
      <c r="A31" s="87" t="s">
        <v>111</v>
      </c>
    </row>
    <row r="32" spans="1:41" x14ac:dyDescent="0.3">
      <c r="A32" s="31" t="s">
        <v>12</v>
      </c>
      <c r="F32" s="99">
        <f>IF(MOD(F$7,12)=4,MAX(E32*(1+ASSUMPTION!$F$14),ASSUMPTION!$F$11),'MONTHLY REVENUE'!E32)</f>
        <v>0</v>
      </c>
      <c r="G32" s="99">
        <f>IF(MOD(G$7,12)=4,MAX(F32*(1+ASSUMPTION!$F$14),ASSUMPTION!$F$11),'MONTHLY REVENUE'!F32)</f>
        <v>0</v>
      </c>
      <c r="H32" s="99">
        <f>IF(MOD(H$7,12)=4,MAX(G32*(1+ASSUMPTION!$F$14),ASSUMPTION!$F$11),'MONTHLY REVENUE'!G32)</f>
        <v>0</v>
      </c>
      <c r="I32" s="99">
        <f>IF(MOD(I$7,12)=4,MAX(H32*(1+ASSUMPTION!$F$14),ASSUMPTION!$F$11),'MONTHLY REVENUE'!H32)</f>
        <v>400</v>
      </c>
      <c r="J32" s="99">
        <f>IF(MOD(J$7,12)=4,MAX(I32*(1+ASSUMPTION!$F$14),ASSUMPTION!$F$11),'MONTHLY REVENUE'!I32)</f>
        <v>400</v>
      </c>
      <c r="K32" s="99">
        <f>IF(MOD(K$7,12)=4,MAX(J32*(1+ASSUMPTION!$F$14),ASSUMPTION!$F$11),'MONTHLY REVENUE'!J32)</f>
        <v>400</v>
      </c>
      <c r="L32" s="99">
        <f>IF(MOD(L$7,12)=4,MAX(K32*(1+ASSUMPTION!$F$14),ASSUMPTION!$F$11),'MONTHLY REVENUE'!K32)</f>
        <v>400</v>
      </c>
      <c r="M32" s="99">
        <f>IF(MOD(M$7,12)=4,MAX(L32*(1+ASSUMPTION!$F$14),ASSUMPTION!$F$11),'MONTHLY REVENUE'!L32)</f>
        <v>400</v>
      </c>
      <c r="N32" s="99">
        <f>IF(MOD(N$7,12)=4,MAX(M32*(1+ASSUMPTION!$F$14),ASSUMPTION!$F$11),'MONTHLY REVENUE'!M32)</f>
        <v>400</v>
      </c>
      <c r="O32" s="99">
        <f>IF(MOD(O$7,12)=4,MAX(N32*(1+ASSUMPTION!$F$14),ASSUMPTION!$F$11),'MONTHLY REVENUE'!N32)</f>
        <v>400</v>
      </c>
      <c r="P32" s="99">
        <f>IF(MOD(P$7,12)=4,MAX(O32*(1+ASSUMPTION!$F$14),ASSUMPTION!$F$11),'MONTHLY REVENUE'!O32)</f>
        <v>400</v>
      </c>
      <c r="Q32" s="99">
        <f>IF(MOD(Q$7,12)=4,MAX(P32*(1+ASSUMPTION!$F$14),ASSUMPTION!$F$11),'MONTHLY REVENUE'!P32)</f>
        <v>400</v>
      </c>
      <c r="R32" s="99">
        <f>IF(MOD(R$7,12)=4,MAX(Q32*(1+ASSUMPTION!$F$14),ASSUMPTION!$F$11),'MONTHLY REVENUE'!Q32)</f>
        <v>400</v>
      </c>
      <c r="S32" s="99">
        <f>IF(MOD(S$7,12)=4,MAX(R32*(1+ASSUMPTION!$F$14),ASSUMPTION!$F$11),'MONTHLY REVENUE'!R32)</f>
        <v>400</v>
      </c>
      <c r="T32" s="99">
        <f>IF(MOD(T$7,12)=4,MAX(S32*(1+ASSUMPTION!$F$14),ASSUMPTION!$F$11),'MONTHLY REVENUE'!S32)</f>
        <v>400</v>
      </c>
      <c r="U32" s="99">
        <f>IF(MOD(U$7,12)=4,MAX(T32*(1+ASSUMPTION!$F$14),ASSUMPTION!$F$11),'MONTHLY REVENUE'!T32)</f>
        <v>420</v>
      </c>
      <c r="V32" s="99">
        <f>IF(MOD(V$7,12)=4,MAX(U32*(1+ASSUMPTION!$F$14),ASSUMPTION!$F$11),'MONTHLY REVENUE'!U32)</f>
        <v>420</v>
      </c>
      <c r="W32" s="99">
        <f>IF(MOD(W$7,12)=4,MAX(V32*(1+ASSUMPTION!$F$14),ASSUMPTION!$F$11),'MONTHLY REVENUE'!V32)</f>
        <v>420</v>
      </c>
      <c r="X32" s="99">
        <f>IF(MOD(X$7,12)=4,MAX(W32*(1+ASSUMPTION!$F$14),ASSUMPTION!$F$11),'MONTHLY REVENUE'!W32)</f>
        <v>420</v>
      </c>
      <c r="Y32" s="99">
        <f>IF(MOD(Y$7,12)=4,MAX(X32*(1+ASSUMPTION!$F$14),ASSUMPTION!$F$11),'MONTHLY REVENUE'!X32)</f>
        <v>420</v>
      </c>
      <c r="Z32" s="99">
        <f>IF(MOD(Z$7,12)=4,MAX(Y32*(1+ASSUMPTION!$F$14),ASSUMPTION!$F$11),'MONTHLY REVENUE'!Y32)</f>
        <v>420</v>
      </c>
      <c r="AA32" s="99">
        <f>IF(MOD(AA$7,12)=4,MAX(Z32*(1+ASSUMPTION!$F$14),ASSUMPTION!$F$11),'MONTHLY REVENUE'!Z32)</f>
        <v>420</v>
      </c>
      <c r="AB32" s="99">
        <f>IF(MOD(AB$7,12)=4,MAX(AA32*(1+ASSUMPTION!$F$14),ASSUMPTION!$F$11),'MONTHLY REVENUE'!AA32)</f>
        <v>420</v>
      </c>
      <c r="AC32" s="99">
        <f>IF(MOD(AC$7,12)=4,MAX(AB32*(1+ASSUMPTION!$F$14),ASSUMPTION!$F$11),'MONTHLY REVENUE'!AB32)</f>
        <v>420</v>
      </c>
      <c r="AD32" s="99">
        <f>IF(MOD(AD$7,12)=4,MAX(AC32*(1+ASSUMPTION!$F$14),ASSUMPTION!$F$11),'MONTHLY REVENUE'!AC32)</f>
        <v>420</v>
      </c>
      <c r="AE32" s="99">
        <f>IF(MOD(AE$7,12)=4,MAX(AD32*(1+ASSUMPTION!$F$14),ASSUMPTION!$F$11),'MONTHLY REVENUE'!AD32)</f>
        <v>420</v>
      </c>
      <c r="AF32" s="99">
        <f>IF(MOD(AF$7,12)=4,MAX(AE32*(1+ASSUMPTION!$F$14),ASSUMPTION!$F$11),'MONTHLY REVENUE'!AE32)</f>
        <v>420</v>
      </c>
      <c r="AG32" s="99">
        <f>IF(MOD(AG$7,12)=4,MAX(AF32*(1+ASSUMPTION!$F$14),ASSUMPTION!$F$11),'MONTHLY REVENUE'!AF32)</f>
        <v>441</v>
      </c>
      <c r="AH32" s="99">
        <f>IF(MOD(AH$7,12)=4,MAX(AG32*(1+ASSUMPTION!$F$14),ASSUMPTION!$F$11),'MONTHLY REVENUE'!AG32)</f>
        <v>441</v>
      </c>
      <c r="AI32" s="99">
        <f>IF(MOD(AI$7,12)=4,MAX(AH32*(1+ASSUMPTION!$F$14),ASSUMPTION!$F$11),'MONTHLY REVENUE'!AH32)</f>
        <v>441</v>
      </c>
      <c r="AJ32" s="99">
        <f>IF(MOD(AJ$7,12)=4,MAX(AI32*(1+ASSUMPTION!$F$14),ASSUMPTION!$F$11),'MONTHLY REVENUE'!AI32)</f>
        <v>441</v>
      </c>
      <c r="AK32" s="99">
        <f>IF(MOD(AK$7,12)=4,MAX(AJ32*(1+ASSUMPTION!$F$14),ASSUMPTION!$F$11),'MONTHLY REVENUE'!AJ32)</f>
        <v>441</v>
      </c>
      <c r="AL32" s="99">
        <f>IF(MOD(AL$7,12)=4,MAX(AK32*(1+ASSUMPTION!$F$14),ASSUMPTION!$F$11),'MONTHLY REVENUE'!AK32)</f>
        <v>441</v>
      </c>
      <c r="AM32" s="99">
        <f>IF(MOD(AM$7,12)=4,MAX(AL32*(1+ASSUMPTION!$F$14),ASSUMPTION!$F$11),'MONTHLY REVENUE'!AL32)</f>
        <v>441</v>
      </c>
      <c r="AN32" s="99">
        <f>IF(MOD(AN$7,12)=4,MAX(AM32*(1+ASSUMPTION!$F$14),ASSUMPTION!$F$11),'MONTHLY REVENUE'!AM32)</f>
        <v>441</v>
      </c>
      <c r="AO32" s="99">
        <f>IF(MOD(AO$7,12)=4,MAX(AN32*(1+ASSUMPTION!$F$14),ASSUMPTION!$F$11),'MONTHLY REVENUE'!AN32)</f>
        <v>441</v>
      </c>
    </row>
    <row r="33" spans="1:41" x14ac:dyDescent="0.3">
      <c r="A33" s="31" t="s">
        <v>13</v>
      </c>
      <c r="F33" s="99">
        <f>IF(MOD(F$7,12)=4,MAX(E33*(1+ASSUMPTION!$F$14),ASSUMPTION!$F$12),'MONTHLY REVENUE'!E33)</f>
        <v>0</v>
      </c>
      <c r="G33" s="99">
        <f>IF(MOD(G$7,12)=4,MAX(F33*(1+ASSUMPTION!$F$14),ASSUMPTION!$F$12),'MONTHLY REVENUE'!F33)</f>
        <v>0</v>
      </c>
      <c r="H33" s="99">
        <f>IF(MOD(H$7,12)=4,MAX(G33*(1+ASSUMPTION!$F$14),ASSUMPTION!$F$12),'MONTHLY REVENUE'!G33)</f>
        <v>0</v>
      </c>
      <c r="I33" s="99">
        <f>IF(MOD(I$7,12)=4,MAX(H33*(1+ASSUMPTION!$F$14),ASSUMPTION!$F$12),'MONTHLY REVENUE'!H33)</f>
        <v>200</v>
      </c>
      <c r="J33" s="99">
        <f>IF(MOD(J$7,12)=4,MAX(I33*(1+ASSUMPTION!$F$14),ASSUMPTION!$F$12),'MONTHLY REVENUE'!I33)</f>
        <v>200</v>
      </c>
      <c r="K33" s="99">
        <f>IF(MOD(K$7,12)=4,MAX(J33*(1+ASSUMPTION!$F$14),ASSUMPTION!$F$12),'MONTHLY REVENUE'!J33)</f>
        <v>200</v>
      </c>
      <c r="L33" s="99">
        <f>IF(MOD(L$7,12)=4,MAX(K33*(1+ASSUMPTION!$F$14),ASSUMPTION!$F$12),'MONTHLY REVENUE'!K33)</f>
        <v>200</v>
      </c>
      <c r="M33" s="99">
        <f>IF(MOD(M$7,12)=4,MAX(L33*(1+ASSUMPTION!$F$14),ASSUMPTION!$F$12),'MONTHLY REVENUE'!L33)</f>
        <v>200</v>
      </c>
      <c r="N33" s="99">
        <f>IF(MOD(N$7,12)=4,MAX(M33*(1+ASSUMPTION!$F$14),ASSUMPTION!$F$12),'MONTHLY REVENUE'!M33)</f>
        <v>200</v>
      </c>
      <c r="O33" s="99">
        <f>IF(MOD(O$7,12)=4,MAX(N33*(1+ASSUMPTION!$F$14),ASSUMPTION!$F$12),'MONTHLY REVENUE'!N33)</f>
        <v>200</v>
      </c>
      <c r="P33" s="99">
        <f>IF(MOD(P$7,12)=4,MAX(O33*(1+ASSUMPTION!$F$14),ASSUMPTION!$F$12),'MONTHLY REVENUE'!O33)</f>
        <v>200</v>
      </c>
      <c r="Q33" s="99">
        <f>IF(MOD(Q$7,12)=4,MAX(P33*(1+ASSUMPTION!$F$14),ASSUMPTION!$F$12),'MONTHLY REVENUE'!P33)</f>
        <v>200</v>
      </c>
      <c r="R33" s="99">
        <f>IF(MOD(R$7,12)=4,MAX(Q33*(1+ASSUMPTION!$F$14),ASSUMPTION!$F$12),'MONTHLY REVENUE'!Q33)</f>
        <v>200</v>
      </c>
      <c r="S33" s="99">
        <f>IF(MOD(S$7,12)=4,MAX(R33*(1+ASSUMPTION!$F$14),ASSUMPTION!$F$12),'MONTHLY REVENUE'!R33)</f>
        <v>200</v>
      </c>
      <c r="T33" s="99">
        <f>IF(MOD(T$7,12)=4,MAX(S33*(1+ASSUMPTION!$F$14),ASSUMPTION!$F$12),'MONTHLY REVENUE'!S33)</f>
        <v>200</v>
      </c>
      <c r="U33" s="99">
        <f>IF(MOD(U$7,12)=4,MAX(T33*(1+ASSUMPTION!$F$14),ASSUMPTION!$F$12),'MONTHLY REVENUE'!T33)</f>
        <v>210</v>
      </c>
      <c r="V33" s="99">
        <f>IF(MOD(V$7,12)=4,MAX(U33*(1+ASSUMPTION!$F$14),ASSUMPTION!$F$12),'MONTHLY REVENUE'!U33)</f>
        <v>210</v>
      </c>
      <c r="W33" s="99">
        <f>IF(MOD(W$7,12)=4,MAX(V33*(1+ASSUMPTION!$F$14),ASSUMPTION!$F$12),'MONTHLY REVENUE'!V33)</f>
        <v>210</v>
      </c>
      <c r="X33" s="99">
        <f>IF(MOD(X$7,12)=4,MAX(W33*(1+ASSUMPTION!$F$14),ASSUMPTION!$F$12),'MONTHLY REVENUE'!W33)</f>
        <v>210</v>
      </c>
      <c r="Y33" s="99">
        <f>IF(MOD(Y$7,12)=4,MAX(X33*(1+ASSUMPTION!$F$14),ASSUMPTION!$F$12),'MONTHLY REVENUE'!X33)</f>
        <v>210</v>
      </c>
      <c r="Z33" s="99">
        <f>IF(MOD(Z$7,12)=4,MAX(Y33*(1+ASSUMPTION!$F$14),ASSUMPTION!$F$12),'MONTHLY REVENUE'!Y33)</f>
        <v>210</v>
      </c>
      <c r="AA33" s="99">
        <f>IF(MOD(AA$7,12)=4,MAX(Z33*(1+ASSUMPTION!$F$14),ASSUMPTION!$F$12),'MONTHLY REVENUE'!Z33)</f>
        <v>210</v>
      </c>
      <c r="AB33" s="99">
        <f>IF(MOD(AB$7,12)=4,MAX(AA33*(1+ASSUMPTION!$F$14),ASSUMPTION!$F$12),'MONTHLY REVENUE'!AA33)</f>
        <v>210</v>
      </c>
      <c r="AC33" s="99">
        <f>IF(MOD(AC$7,12)=4,MAX(AB33*(1+ASSUMPTION!$F$14),ASSUMPTION!$F$12),'MONTHLY REVENUE'!AB33)</f>
        <v>210</v>
      </c>
      <c r="AD33" s="99">
        <f>IF(MOD(AD$7,12)=4,MAX(AC33*(1+ASSUMPTION!$F$14),ASSUMPTION!$F$12),'MONTHLY REVENUE'!AC33)</f>
        <v>210</v>
      </c>
      <c r="AE33" s="99">
        <f>IF(MOD(AE$7,12)=4,MAX(AD33*(1+ASSUMPTION!$F$14),ASSUMPTION!$F$12),'MONTHLY REVENUE'!AD33)</f>
        <v>210</v>
      </c>
      <c r="AF33" s="99">
        <f>IF(MOD(AF$7,12)=4,MAX(AE33*(1+ASSUMPTION!$F$14),ASSUMPTION!$F$12),'MONTHLY REVENUE'!AE33)</f>
        <v>210</v>
      </c>
      <c r="AG33" s="99">
        <f>IF(MOD(AG$7,12)=4,MAX(AF33*(1+ASSUMPTION!$F$14),ASSUMPTION!$F$12),'MONTHLY REVENUE'!AF33)</f>
        <v>220.5</v>
      </c>
      <c r="AH33" s="99">
        <f>IF(MOD(AH$7,12)=4,MAX(AG33*(1+ASSUMPTION!$F$14),ASSUMPTION!$F$12),'MONTHLY REVENUE'!AG33)</f>
        <v>220.5</v>
      </c>
      <c r="AI33" s="99">
        <f>IF(MOD(AI$7,12)=4,MAX(AH33*(1+ASSUMPTION!$F$14),ASSUMPTION!$F$12),'MONTHLY REVENUE'!AH33)</f>
        <v>220.5</v>
      </c>
      <c r="AJ33" s="99">
        <f>IF(MOD(AJ$7,12)=4,MAX(AI33*(1+ASSUMPTION!$F$14),ASSUMPTION!$F$12),'MONTHLY REVENUE'!AI33)</f>
        <v>220.5</v>
      </c>
      <c r="AK33" s="99">
        <f>IF(MOD(AK$7,12)=4,MAX(AJ33*(1+ASSUMPTION!$F$14),ASSUMPTION!$F$12),'MONTHLY REVENUE'!AJ33)</f>
        <v>220.5</v>
      </c>
      <c r="AL33" s="99">
        <f>IF(MOD(AL$7,12)=4,MAX(AK33*(1+ASSUMPTION!$F$14),ASSUMPTION!$F$12),'MONTHLY REVENUE'!AK33)</f>
        <v>220.5</v>
      </c>
      <c r="AM33" s="99">
        <f>IF(MOD(AM$7,12)=4,MAX(AL33*(1+ASSUMPTION!$F$14),ASSUMPTION!$F$12),'MONTHLY REVENUE'!AL33)</f>
        <v>220.5</v>
      </c>
      <c r="AN33" s="99">
        <f>IF(MOD(AN$7,12)=4,MAX(AM33*(1+ASSUMPTION!$F$14),ASSUMPTION!$F$12),'MONTHLY REVENUE'!AM33)</f>
        <v>220.5</v>
      </c>
      <c r="AO33" s="99">
        <f>IF(MOD(AO$7,12)=4,MAX(AN33*(1+ASSUMPTION!$F$14),ASSUMPTION!$F$12),'MONTHLY REVENUE'!AN33)</f>
        <v>220.5</v>
      </c>
    </row>
    <row r="34" spans="1:41" x14ac:dyDescent="0.3">
      <c r="A34" s="31" t="s">
        <v>14</v>
      </c>
      <c r="F34" s="99">
        <f>IF(MOD(F$7,12)=4,MAX(E34*(1+ASSUMPTION!$F$14),ASSUMPTION!$F$13),'MONTHLY REVENUE'!E34)</f>
        <v>0</v>
      </c>
      <c r="G34" s="99">
        <f>IF(MOD(G$7,12)=4,MAX(F34*(1+ASSUMPTION!$F$14),ASSUMPTION!$F$13),'MONTHLY REVENUE'!F34)</f>
        <v>0</v>
      </c>
      <c r="H34" s="99">
        <f>IF(MOD(H$7,12)=4,MAX(G34*(1+ASSUMPTION!$F$14),ASSUMPTION!$F$13),'MONTHLY REVENUE'!G34)</f>
        <v>0</v>
      </c>
      <c r="I34" s="99">
        <f>IF(MOD(I$7,12)=4,MAX(H34*(1+ASSUMPTION!$F$14),ASSUMPTION!$F$13),'MONTHLY REVENUE'!H34)</f>
        <v>1000</v>
      </c>
      <c r="J34" s="99">
        <f>IF(MOD(J$7,12)=4,MAX(I34*(1+ASSUMPTION!$F$14),ASSUMPTION!$F$13),'MONTHLY REVENUE'!I34)</f>
        <v>1000</v>
      </c>
      <c r="K34" s="99">
        <f>IF(MOD(K$7,12)=4,MAX(J34*(1+ASSUMPTION!$F$14),ASSUMPTION!$F$13),'MONTHLY REVENUE'!J34)</f>
        <v>1000</v>
      </c>
      <c r="L34" s="99">
        <f>IF(MOD(L$7,12)=4,MAX(K34*(1+ASSUMPTION!$F$14),ASSUMPTION!$F$13),'MONTHLY REVENUE'!K34)</f>
        <v>1000</v>
      </c>
      <c r="M34" s="99">
        <f>IF(MOD(M$7,12)=4,MAX(L34*(1+ASSUMPTION!$F$14),ASSUMPTION!$F$13),'MONTHLY REVENUE'!L34)</f>
        <v>1000</v>
      </c>
      <c r="N34" s="99">
        <f>IF(MOD(N$7,12)=4,MAX(M34*(1+ASSUMPTION!$F$14),ASSUMPTION!$F$13),'MONTHLY REVENUE'!M34)</f>
        <v>1000</v>
      </c>
      <c r="O34" s="99">
        <f>IF(MOD(O$7,12)=4,MAX(N34*(1+ASSUMPTION!$F$14),ASSUMPTION!$F$13),'MONTHLY REVENUE'!N34)</f>
        <v>1000</v>
      </c>
      <c r="P34" s="99">
        <f>IF(MOD(P$7,12)=4,MAX(O34*(1+ASSUMPTION!$F$14),ASSUMPTION!$F$13),'MONTHLY REVENUE'!O34)</f>
        <v>1000</v>
      </c>
      <c r="Q34" s="99">
        <f>IF(MOD(Q$7,12)=4,MAX(P34*(1+ASSUMPTION!$F$14),ASSUMPTION!$F$13),'MONTHLY REVENUE'!P34)</f>
        <v>1000</v>
      </c>
      <c r="R34" s="99">
        <f>IF(MOD(R$7,12)=4,MAX(Q34*(1+ASSUMPTION!$F$14),ASSUMPTION!$F$13),'MONTHLY REVENUE'!Q34)</f>
        <v>1000</v>
      </c>
      <c r="S34" s="99">
        <f>IF(MOD(S$7,12)=4,MAX(R34*(1+ASSUMPTION!$F$14),ASSUMPTION!$F$13),'MONTHLY REVENUE'!R34)</f>
        <v>1000</v>
      </c>
      <c r="T34" s="99">
        <f>IF(MOD(T$7,12)=4,MAX(S34*(1+ASSUMPTION!$F$14),ASSUMPTION!$F$13),'MONTHLY REVENUE'!S34)</f>
        <v>1000</v>
      </c>
      <c r="U34" s="99">
        <f>IF(MOD(U$7,12)=4,MAX(T34*(1+ASSUMPTION!$F$14),ASSUMPTION!$F$13),'MONTHLY REVENUE'!T34)</f>
        <v>1050</v>
      </c>
      <c r="V34" s="99">
        <f>IF(MOD(V$7,12)=4,MAX(U34*(1+ASSUMPTION!$F$14),ASSUMPTION!$F$13),'MONTHLY REVENUE'!U34)</f>
        <v>1050</v>
      </c>
      <c r="W34" s="99">
        <f>IF(MOD(W$7,12)=4,MAX(V34*(1+ASSUMPTION!$F$14),ASSUMPTION!$F$13),'MONTHLY REVENUE'!V34)</f>
        <v>1050</v>
      </c>
      <c r="X34" s="99">
        <f>IF(MOD(X$7,12)=4,MAX(W34*(1+ASSUMPTION!$F$14),ASSUMPTION!$F$13),'MONTHLY REVENUE'!W34)</f>
        <v>1050</v>
      </c>
      <c r="Y34" s="99">
        <f>IF(MOD(Y$7,12)=4,MAX(X34*(1+ASSUMPTION!$F$14),ASSUMPTION!$F$13),'MONTHLY REVENUE'!X34)</f>
        <v>1050</v>
      </c>
      <c r="Z34" s="99">
        <f>IF(MOD(Z$7,12)=4,MAX(Y34*(1+ASSUMPTION!$F$14),ASSUMPTION!$F$13),'MONTHLY REVENUE'!Y34)</f>
        <v>1050</v>
      </c>
      <c r="AA34" s="99">
        <f>IF(MOD(AA$7,12)=4,MAX(Z34*(1+ASSUMPTION!$F$14),ASSUMPTION!$F$13),'MONTHLY REVENUE'!Z34)</f>
        <v>1050</v>
      </c>
      <c r="AB34" s="99">
        <f>IF(MOD(AB$7,12)=4,MAX(AA34*(1+ASSUMPTION!$F$14),ASSUMPTION!$F$13),'MONTHLY REVENUE'!AA34)</f>
        <v>1050</v>
      </c>
      <c r="AC34" s="99">
        <f>IF(MOD(AC$7,12)=4,MAX(AB34*(1+ASSUMPTION!$F$14),ASSUMPTION!$F$13),'MONTHLY REVENUE'!AB34)</f>
        <v>1050</v>
      </c>
      <c r="AD34" s="99">
        <f>IF(MOD(AD$7,12)=4,MAX(AC34*(1+ASSUMPTION!$F$14),ASSUMPTION!$F$13),'MONTHLY REVENUE'!AC34)</f>
        <v>1050</v>
      </c>
      <c r="AE34" s="99">
        <f>IF(MOD(AE$7,12)=4,MAX(AD34*(1+ASSUMPTION!$F$14),ASSUMPTION!$F$13),'MONTHLY REVENUE'!AD34)</f>
        <v>1050</v>
      </c>
      <c r="AF34" s="99">
        <f>IF(MOD(AF$7,12)=4,MAX(AE34*(1+ASSUMPTION!$F$14),ASSUMPTION!$F$13),'MONTHLY REVENUE'!AE34)</f>
        <v>1050</v>
      </c>
      <c r="AG34" s="99">
        <f>IF(MOD(AG$7,12)=4,MAX(AF34*(1+ASSUMPTION!$F$14),ASSUMPTION!$F$13),'MONTHLY REVENUE'!AF34)</f>
        <v>1102.5</v>
      </c>
      <c r="AH34" s="99">
        <f>IF(MOD(AH$7,12)=4,MAX(AG34*(1+ASSUMPTION!$F$14),ASSUMPTION!$F$13),'MONTHLY REVENUE'!AG34)</f>
        <v>1102.5</v>
      </c>
      <c r="AI34" s="99">
        <f>IF(MOD(AI$7,12)=4,MAX(AH34*(1+ASSUMPTION!$F$14),ASSUMPTION!$F$13),'MONTHLY REVENUE'!AH34)</f>
        <v>1102.5</v>
      </c>
      <c r="AJ34" s="99">
        <f>IF(MOD(AJ$7,12)=4,MAX(AI34*(1+ASSUMPTION!$F$14),ASSUMPTION!$F$13),'MONTHLY REVENUE'!AI34)</f>
        <v>1102.5</v>
      </c>
      <c r="AK34" s="99">
        <f>IF(MOD(AK$7,12)=4,MAX(AJ34*(1+ASSUMPTION!$F$14),ASSUMPTION!$F$13),'MONTHLY REVENUE'!AJ34)</f>
        <v>1102.5</v>
      </c>
      <c r="AL34" s="99">
        <f>IF(MOD(AL$7,12)=4,MAX(AK34*(1+ASSUMPTION!$F$14),ASSUMPTION!$F$13),'MONTHLY REVENUE'!AK34)</f>
        <v>1102.5</v>
      </c>
      <c r="AM34" s="99">
        <f>IF(MOD(AM$7,12)=4,MAX(AL34*(1+ASSUMPTION!$F$14),ASSUMPTION!$F$13),'MONTHLY REVENUE'!AL34)</f>
        <v>1102.5</v>
      </c>
      <c r="AN34" s="99">
        <f>IF(MOD(AN$7,12)=4,MAX(AM34*(1+ASSUMPTION!$F$14),ASSUMPTION!$F$13),'MONTHLY REVENUE'!AM34)</f>
        <v>1102.5</v>
      </c>
      <c r="AO34" s="99">
        <f>IF(MOD(AO$7,12)=4,MAX(AN34*(1+ASSUMPTION!$F$14),ASSUMPTION!$F$13),'MONTHLY REVENUE'!AN34)</f>
        <v>1102.5</v>
      </c>
    </row>
    <row r="35" spans="1:41" s="109" customFormat="1" x14ac:dyDescent="0.3">
      <c r="A35" s="106" t="s">
        <v>114</v>
      </c>
      <c r="B35" s="107"/>
      <c r="C35" s="107"/>
      <c r="D35" s="107"/>
      <c r="E35" s="107"/>
      <c r="F35" s="108">
        <f>SUM(F32:F34)</f>
        <v>0</v>
      </c>
      <c r="G35" s="108">
        <f t="shared" ref="G35:AO35" si="5">SUM(G32:G34)</f>
        <v>0</v>
      </c>
      <c r="H35" s="108">
        <f t="shared" si="5"/>
        <v>0</v>
      </c>
      <c r="I35" s="108">
        <f t="shared" si="5"/>
        <v>1600</v>
      </c>
      <c r="J35" s="108">
        <f t="shared" si="5"/>
        <v>1600</v>
      </c>
      <c r="K35" s="108">
        <f t="shared" si="5"/>
        <v>1600</v>
      </c>
      <c r="L35" s="108">
        <f t="shared" si="5"/>
        <v>1600</v>
      </c>
      <c r="M35" s="108">
        <f t="shared" si="5"/>
        <v>1600</v>
      </c>
      <c r="N35" s="108">
        <f t="shared" si="5"/>
        <v>1600</v>
      </c>
      <c r="O35" s="108">
        <f t="shared" si="5"/>
        <v>1600</v>
      </c>
      <c r="P35" s="108">
        <f t="shared" si="5"/>
        <v>1600</v>
      </c>
      <c r="Q35" s="108">
        <f t="shared" si="5"/>
        <v>1600</v>
      </c>
      <c r="R35" s="108">
        <f t="shared" si="5"/>
        <v>1600</v>
      </c>
      <c r="S35" s="108">
        <f t="shared" si="5"/>
        <v>1600</v>
      </c>
      <c r="T35" s="108">
        <f t="shared" si="5"/>
        <v>1600</v>
      </c>
      <c r="U35" s="108">
        <f t="shared" si="5"/>
        <v>1680</v>
      </c>
      <c r="V35" s="108">
        <f t="shared" si="5"/>
        <v>1680</v>
      </c>
      <c r="W35" s="108">
        <f t="shared" si="5"/>
        <v>1680</v>
      </c>
      <c r="X35" s="108">
        <f t="shared" si="5"/>
        <v>1680</v>
      </c>
      <c r="Y35" s="108">
        <f t="shared" si="5"/>
        <v>1680</v>
      </c>
      <c r="Z35" s="108">
        <f t="shared" si="5"/>
        <v>1680</v>
      </c>
      <c r="AA35" s="108">
        <f t="shared" si="5"/>
        <v>1680</v>
      </c>
      <c r="AB35" s="108">
        <f t="shared" si="5"/>
        <v>1680</v>
      </c>
      <c r="AC35" s="108">
        <f t="shared" si="5"/>
        <v>1680</v>
      </c>
      <c r="AD35" s="108">
        <f t="shared" si="5"/>
        <v>1680</v>
      </c>
      <c r="AE35" s="108">
        <f t="shared" si="5"/>
        <v>1680</v>
      </c>
      <c r="AF35" s="108">
        <f t="shared" si="5"/>
        <v>1680</v>
      </c>
      <c r="AG35" s="108">
        <f t="shared" si="5"/>
        <v>1764</v>
      </c>
      <c r="AH35" s="108">
        <f t="shared" si="5"/>
        <v>1764</v>
      </c>
      <c r="AI35" s="108">
        <f t="shared" si="5"/>
        <v>1764</v>
      </c>
      <c r="AJ35" s="108">
        <f t="shared" si="5"/>
        <v>1764</v>
      </c>
      <c r="AK35" s="108">
        <f t="shared" si="5"/>
        <v>1764</v>
      </c>
      <c r="AL35" s="108">
        <f t="shared" si="5"/>
        <v>1764</v>
      </c>
      <c r="AM35" s="108">
        <f t="shared" si="5"/>
        <v>1764</v>
      </c>
      <c r="AN35" s="108">
        <f t="shared" si="5"/>
        <v>1764</v>
      </c>
      <c r="AO35" s="108">
        <f t="shared" si="5"/>
        <v>1764</v>
      </c>
    </row>
    <row r="37" spans="1:41" x14ac:dyDescent="0.3">
      <c r="A37" s="115" t="s">
        <v>112</v>
      </c>
    </row>
    <row r="38" spans="1:41" x14ac:dyDescent="0.3">
      <c r="A38" s="87" t="s">
        <v>110</v>
      </c>
    </row>
    <row r="39" spans="1:41" x14ac:dyDescent="0.3">
      <c r="A39" s="31" t="s">
        <v>12</v>
      </c>
      <c r="F39" s="99">
        <f>IF(MOD(F$7,12)=4,MAX(E39*(1+ASSUMPTION!$C$14),ASSUMPTION!$C$11),'MONTHLY REVENUE'!E39)</f>
        <v>0</v>
      </c>
      <c r="G39" s="99">
        <f>IF(MOD(G$7,12)=4,MAX(F39*(1+ASSUMPTION!$C$14),ASSUMPTION!$C$11),'MONTHLY REVENUE'!F39)</f>
        <v>0</v>
      </c>
      <c r="H39" s="99">
        <f>IF(MOD(H$7,12)=4,MAX(G39*(1+ASSUMPTION!$C$14),ASSUMPTION!$C$11),'MONTHLY REVENUE'!G39)</f>
        <v>0</v>
      </c>
      <c r="I39" s="99">
        <f>IF(MOD(I$7,12)=4,MAX(H39*(1+ASSUMPTION!$C$14),ASSUMPTION!$C$11),'MONTHLY REVENUE'!H39)</f>
        <v>500</v>
      </c>
      <c r="J39" s="99">
        <f>IF(MOD(J$7,12)=4,MAX(I39*(1+ASSUMPTION!$C$14),ASSUMPTION!$C$11),'MONTHLY REVENUE'!I39)</f>
        <v>500</v>
      </c>
      <c r="K39" s="99">
        <f>IF(MOD(K$7,12)=4,MAX(J39*(1+ASSUMPTION!$C$14),ASSUMPTION!$C$11),'MONTHLY REVENUE'!J39)</f>
        <v>500</v>
      </c>
      <c r="L39" s="99">
        <f>IF(MOD(L$7,12)=4,MAX(K39*(1+ASSUMPTION!$C$14),ASSUMPTION!$C$11),'MONTHLY REVENUE'!K39)</f>
        <v>500</v>
      </c>
      <c r="M39" s="99">
        <f>IF(MOD(M$7,12)=4,MAX(L39*(1+ASSUMPTION!$C$14),ASSUMPTION!$C$11),'MONTHLY REVENUE'!L39)</f>
        <v>500</v>
      </c>
      <c r="N39" s="99">
        <f>IF(MOD(N$7,12)=4,MAX(M39*(1+ASSUMPTION!$C$14),ASSUMPTION!$C$11),'MONTHLY REVENUE'!M39)</f>
        <v>500</v>
      </c>
      <c r="O39" s="99">
        <f>IF(MOD(O$7,12)=4,MAX(N39*(1+ASSUMPTION!$C$14),ASSUMPTION!$C$11),'MONTHLY REVENUE'!N39)</f>
        <v>500</v>
      </c>
      <c r="P39" s="99">
        <f>IF(MOD(P$7,12)=4,MAX(O39*(1+ASSUMPTION!$C$14),ASSUMPTION!$C$11),'MONTHLY REVENUE'!O39)</f>
        <v>500</v>
      </c>
      <c r="Q39" s="99">
        <f>IF(MOD(Q$7,12)=4,MAX(P39*(1+ASSUMPTION!$C$14),ASSUMPTION!$C$11),'MONTHLY REVENUE'!P39)</f>
        <v>500</v>
      </c>
      <c r="R39" s="99">
        <f>IF(MOD(R$7,12)=4,MAX(Q39*(1+ASSUMPTION!$C$14),ASSUMPTION!$C$11),'MONTHLY REVENUE'!Q39)</f>
        <v>500</v>
      </c>
      <c r="S39" s="99">
        <f>IF(MOD(S$7,12)=4,MAX(R39*(1+ASSUMPTION!$C$14),ASSUMPTION!$C$11),'MONTHLY REVENUE'!R39)</f>
        <v>500</v>
      </c>
      <c r="T39" s="99">
        <f>IF(MOD(T$7,12)=4,MAX(S39*(1+ASSUMPTION!$C$14),ASSUMPTION!$C$11),'MONTHLY REVENUE'!S39)</f>
        <v>500</v>
      </c>
      <c r="U39" s="99">
        <f>IF(MOD(U$7,12)=4,MAX(T39*(1+ASSUMPTION!$C$14),ASSUMPTION!$C$11),'MONTHLY REVENUE'!T39)</f>
        <v>525</v>
      </c>
      <c r="V39" s="99">
        <f>IF(MOD(V$7,12)=4,MAX(U39*(1+ASSUMPTION!$C$14),ASSUMPTION!$C$11),'MONTHLY REVENUE'!U39)</f>
        <v>525</v>
      </c>
      <c r="W39" s="99">
        <f>IF(MOD(W$7,12)=4,MAX(V39*(1+ASSUMPTION!$C$14),ASSUMPTION!$C$11),'MONTHLY REVENUE'!V39)</f>
        <v>525</v>
      </c>
      <c r="X39" s="99">
        <f>IF(MOD(X$7,12)=4,MAX(W39*(1+ASSUMPTION!$C$14),ASSUMPTION!$C$11),'MONTHLY REVENUE'!W39)</f>
        <v>525</v>
      </c>
      <c r="Y39" s="99">
        <f>IF(MOD(Y$7,12)=4,MAX(X39*(1+ASSUMPTION!$C$14),ASSUMPTION!$C$11),'MONTHLY REVENUE'!X39)</f>
        <v>525</v>
      </c>
      <c r="Z39" s="99">
        <f>IF(MOD(Z$7,12)=4,MAX(Y39*(1+ASSUMPTION!$C$14),ASSUMPTION!$C$11),'MONTHLY REVENUE'!Y39)</f>
        <v>525</v>
      </c>
      <c r="AA39" s="99">
        <f>IF(MOD(AA$7,12)=4,MAX(Z39*(1+ASSUMPTION!$C$14),ASSUMPTION!$C$11),'MONTHLY REVENUE'!Z39)</f>
        <v>525</v>
      </c>
      <c r="AB39" s="99">
        <f>IF(MOD(AB$7,12)=4,MAX(AA39*(1+ASSUMPTION!$C$14),ASSUMPTION!$C$11),'MONTHLY REVENUE'!AA39)</f>
        <v>525</v>
      </c>
      <c r="AC39" s="99">
        <f>IF(MOD(AC$7,12)=4,MAX(AB39*(1+ASSUMPTION!$C$14),ASSUMPTION!$C$11),'MONTHLY REVENUE'!AB39)</f>
        <v>525</v>
      </c>
      <c r="AD39" s="99">
        <f>IF(MOD(AD$7,12)=4,MAX(AC39*(1+ASSUMPTION!$C$14),ASSUMPTION!$C$11),'MONTHLY REVENUE'!AC39)</f>
        <v>525</v>
      </c>
      <c r="AE39" s="99">
        <f>IF(MOD(AE$7,12)=4,MAX(AD39*(1+ASSUMPTION!$C$14),ASSUMPTION!$C$11),'MONTHLY REVENUE'!AD39)</f>
        <v>525</v>
      </c>
      <c r="AF39" s="99">
        <f>IF(MOD(AF$7,12)=4,MAX(AE39*(1+ASSUMPTION!$C$14),ASSUMPTION!$C$11),'MONTHLY REVENUE'!AE39)</f>
        <v>525</v>
      </c>
      <c r="AG39" s="99">
        <f>IF(MOD(AG$7,12)=4,MAX(AF39*(1+ASSUMPTION!$C$14),ASSUMPTION!$C$11),'MONTHLY REVENUE'!AF39)</f>
        <v>551.25</v>
      </c>
      <c r="AH39" s="99">
        <f>IF(MOD(AH$7,12)=4,MAX(AG39*(1+ASSUMPTION!$C$14),ASSUMPTION!$C$11),'MONTHLY REVENUE'!AG39)</f>
        <v>551.25</v>
      </c>
      <c r="AI39" s="99">
        <f>IF(MOD(AI$7,12)=4,MAX(AH39*(1+ASSUMPTION!$C$14),ASSUMPTION!$C$11),'MONTHLY REVENUE'!AH39)</f>
        <v>551.25</v>
      </c>
      <c r="AJ39" s="99">
        <f>IF(MOD(AJ$7,12)=4,MAX(AI39*(1+ASSUMPTION!$C$14),ASSUMPTION!$C$11),'MONTHLY REVENUE'!AI39)</f>
        <v>551.25</v>
      </c>
      <c r="AK39" s="99">
        <f>IF(MOD(AK$7,12)=4,MAX(AJ39*(1+ASSUMPTION!$C$14),ASSUMPTION!$C$11),'MONTHLY REVENUE'!AJ39)</f>
        <v>551.25</v>
      </c>
      <c r="AL39" s="99">
        <f>IF(MOD(AL$7,12)=4,MAX(AK39*(1+ASSUMPTION!$C$14),ASSUMPTION!$C$11),'MONTHLY REVENUE'!AK39)</f>
        <v>551.25</v>
      </c>
      <c r="AM39" s="99">
        <f>IF(MOD(AM$7,12)=4,MAX(AL39*(1+ASSUMPTION!$C$14),ASSUMPTION!$C$11),'MONTHLY REVENUE'!AL39)</f>
        <v>551.25</v>
      </c>
      <c r="AN39" s="99">
        <f>IF(MOD(AN$7,12)=4,MAX(AM39*(1+ASSUMPTION!$C$14),ASSUMPTION!$C$11),'MONTHLY REVENUE'!AM39)</f>
        <v>551.25</v>
      </c>
      <c r="AO39" s="99">
        <f>IF(MOD(AO$7,12)=4,MAX(AN39*(1+ASSUMPTION!$C$14),ASSUMPTION!$C$11),'MONTHLY REVENUE'!AN39)</f>
        <v>551.25</v>
      </c>
    </row>
    <row r="40" spans="1:41" x14ac:dyDescent="0.3">
      <c r="A40" s="31" t="s">
        <v>13</v>
      </c>
      <c r="F40" s="99">
        <f>IF(MOD(F$7,12)=4,MAX(E40*(1+ASSUMPTION!$C$14),ASSUMPTION!$C$12),'MONTHLY REVENUE'!E40)</f>
        <v>0</v>
      </c>
      <c r="G40" s="99">
        <f>IF(MOD(G$7,12)=4,MAX(F40*(1+ASSUMPTION!$C$14),ASSUMPTION!$C$12),'MONTHLY REVENUE'!F40)</f>
        <v>0</v>
      </c>
      <c r="H40" s="99">
        <f>IF(MOD(H$7,12)=4,MAX(G40*(1+ASSUMPTION!$C$14),ASSUMPTION!$C$12),'MONTHLY REVENUE'!G40)</f>
        <v>0</v>
      </c>
      <c r="I40" s="99">
        <f>IF(MOD(I$7,12)=4,MAX(H40*(1+ASSUMPTION!$C$14),ASSUMPTION!$C$12),'MONTHLY REVENUE'!H40)</f>
        <v>200</v>
      </c>
      <c r="J40" s="99">
        <f>IF(MOD(J$7,12)=4,MAX(I40*(1+ASSUMPTION!$C$14),ASSUMPTION!$C$12),'MONTHLY REVENUE'!I40)</f>
        <v>200</v>
      </c>
      <c r="K40" s="99">
        <f>IF(MOD(K$7,12)=4,MAX(J40*(1+ASSUMPTION!$C$14),ASSUMPTION!$C$12),'MONTHLY REVENUE'!J40)</f>
        <v>200</v>
      </c>
      <c r="L40" s="99">
        <f>IF(MOD(L$7,12)=4,MAX(K40*(1+ASSUMPTION!$C$14),ASSUMPTION!$C$12),'MONTHLY REVENUE'!K40)</f>
        <v>200</v>
      </c>
      <c r="M40" s="99">
        <f>IF(MOD(M$7,12)=4,MAX(L40*(1+ASSUMPTION!$C$14),ASSUMPTION!$C$12),'MONTHLY REVENUE'!L40)</f>
        <v>200</v>
      </c>
      <c r="N40" s="99">
        <f>IF(MOD(N$7,12)=4,MAX(M40*(1+ASSUMPTION!$C$14),ASSUMPTION!$C$12),'MONTHLY REVENUE'!M40)</f>
        <v>200</v>
      </c>
      <c r="O40" s="99">
        <f>IF(MOD(O$7,12)=4,MAX(N40*(1+ASSUMPTION!$C$14),ASSUMPTION!$C$12),'MONTHLY REVENUE'!N40)</f>
        <v>200</v>
      </c>
      <c r="P40" s="99">
        <f>IF(MOD(P$7,12)=4,MAX(O40*(1+ASSUMPTION!$C$14),ASSUMPTION!$C$12),'MONTHLY REVENUE'!O40)</f>
        <v>200</v>
      </c>
      <c r="Q40" s="99">
        <f>IF(MOD(Q$7,12)=4,MAX(P40*(1+ASSUMPTION!$C$14),ASSUMPTION!$C$12),'MONTHLY REVENUE'!P40)</f>
        <v>200</v>
      </c>
      <c r="R40" s="99">
        <f>IF(MOD(R$7,12)=4,MAX(Q40*(1+ASSUMPTION!$C$14),ASSUMPTION!$C$12),'MONTHLY REVENUE'!Q40)</f>
        <v>200</v>
      </c>
      <c r="S40" s="99">
        <f>IF(MOD(S$7,12)=4,MAX(R40*(1+ASSUMPTION!$C$14),ASSUMPTION!$C$12),'MONTHLY REVENUE'!R40)</f>
        <v>200</v>
      </c>
      <c r="T40" s="99">
        <f>IF(MOD(T$7,12)=4,MAX(S40*(1+ASSUMPTION!$C$14),ASSUMPTION!$C$12),'MONTHLY REVENUE'!S40)</f>
        <v>200</v>
      </c>
      <c r="U40" s="99">
        <f>IF(MOD(U$7,12)=4,MAX(T40*(1+ASSUMPTION!$C$14),ASSUMPTION!$C$12),'MONTHLY REVENUE'!T40)</f>
        <v>210</v>
      </c>
      <c r="V40" s="99">
        <f>IF(MOD(V$7,12)=4,MAX(U40*(1+ASSUMPTION!$C$14),ASSUMPTION!$C$12),'MONTHLY REVENUE'!U40)</f>
        <v>210</v>
      </c>
      <c r="W40" s="99">
        <f>IF(MOD(W$7,12)=4,MAX(V40*(1+ASSUMPTION!$C$14),ASSUMPTION!$C$12),'MONTHLY REVENUE'!V40)</f>
        <v>210</v>
      </c>
      <c r="X40" s="99">
        <f>IF(MOD(X$7,12)=4,MAX(W40*(1+ASSUMPTION!$C$14),ASSUMPTION!$C$12),'MONTHLY REVENUE'!W40)</f>
        <v>210</v>
      </c>
      <c r="Y40" s="99">
        <f>IF(MOD(Y$7,12)=4,MAX(X40*(1+ASSUMPTION!$C$14),ASSUMPTION!$C$12),'MONTHLY REVENUE'!X40)</f>
        <v>210</v>
      </c>
      <c r="Z40" s="99">
        <f>IF(MOD(Z$7,12)=4,MAX(Y40*(1+ASSUMPTION!$C$14),ASSUMPTION!$C$12),'MONTHLY REVENUE'!Y40)</f>
        <v>210</v>
      </c>
      <c r="AA40" s="99">
        <f>IF(MOD(AA$7,12)=4,MAX(Z40*(1+ASSUMPTION!$C$14),ASSUMPTION!$C$12),'MONTHLY REVENUE'!Z40)</f>
        <v>210</v>
      </c>
      <c r="AB40" s="99">
        <f>IF(MOD(AB$7,12)=4,MAX(AA40*(1+ASSUMPTION!$C$14),ASSUMPTION!$C$12),'MONTHLY REVENUE'!AA40)</f>
        <v>210</v>
      </c>
      <c r="AC40" s="99">
        <f>IF(MOD(AC$7,12)=4,MAX(AB40*(1+ASSUMPTION!$C$14),ASSUMPTION!$C$12),'MONTHLY REVENUE'!AB40)</f>
        <v>210</v>
      </c>
      <c r="AD40" s="99">
        <f>IF(MOD(AD$7,12)=4,MAX(AC40*(1+ASSUMPTION!$C$14),ASSUMPTION!$C$12),'MONTHLY REVENUE'!AC40)</f>
        <v>210</v>
      </c>
      <c r="AE40" s="99">
        <f>IF(MOD(AE$7,12)=4,MAX(AD40*(1+ASSUMPTION!$C$14),ASSUMPTION!$C$12),'MONTHLY REVENUE'!AD40)</f>
        <v>210</v>
      </c>
      <c r="AF40" s="99">
        <f>IF(MOD(AF$7,12)=4,MAX(AE40*(1+ASSUMPTION!$C$14),ASSUMPTION!$C$12),'MONTHLY REVENUE'!AE40)</f>
        <v>210</v>
      </c>
      <c r="AG40" s="99">
        <f>IF(MOD(AG$7,12)=4,MAX(AF40*(1+ASSUMPTION!$C$14),ASSUMPTION!$C$12),'MONTHLY REVENUE'!AF40)</f>
        <v>220.5</v>
      </c>
      <c r="AH40" s="99">
        <f>IF(MOD(AH$7,12)=4,MAX(AG40*(1+ASSUMPTION!$C$14),ASSUMPTION!$C$12),'MONTHLY REVENUE'!AG40)</f>
        <v>220.5</v>
      </c>
      <c r="AI40" s="99">
        <f>IF(MOD(AI$7,12)=4,MAX(AH40*(1+ASSUMPTION!$C$14),ASSUMPTION!$C$12),'MONTHLY REVENUE'!AH40)</f>
        <v>220.5</v>
      </c>
      <c r="AJ40" s="99">
        <f>IF(MOD(AJ$7,12)=4,MAX(AI40*(1+ASSUMPTION!$C$14),ASSUMPTION!$C$12),'MONTHLY REVENUE'!AI40)</f>
        <v>220.5</v>
      </c>
      <c r="AK40" s="99">
        <f>IF(MOD(AK$7,12)=4,MAX(AJ40*(1+ASSUMPTION!$C$14),ASSUMPTION!$C$12),'MONTHLY REVENUE'!AJ40)</f>
        <v>220.5</v>
      </c>
      <c r="AL40" s="99">
        <f>IF(MOD(AL$7,12)=4,MAX(AK40*(1+ASSUMPTION!$C$14),ASSUMPTION!$C$12),'MONTHLY REVENUE'!AK40)</f>
        <v>220.5</v>
      </c>
      <c r="AM40" s="99">
        <f>IF(MOD(AM$7,12)=4,MAX(AL40*(1+ASSUMPTION!$C$14),ASSUMPTION!$C$12),'MONTHLY REVENUE'!AL40)</f>
        <v>220.5</v>
      </c>
      <c r="AN40" s="99">
        <f>IF(MOD(AN$7,12)=4,MAX(AM40*(1+ASSUMPTION!$C$14),ASSUMPTION!$C$12),'MONTHLY REVENUE'!AM40)</f>
        <v>220.5</v>
      </c>
      <c r="AO40" s="99">
        <f>IF(MOD(AO$7,12)=4,MAX(AN40*(1+ASSUMPTION!$C$14),ASSUMPTION!$C$12),'MONTHLY REVENUE'!AN40)</f>
        <v>220.5</v>
      </c>
    </row>
    <row r="41" spans="1:41" x14ac:dyDescent="0.3">
      <c r="A41" s="31" t="s">
        <v>14</v>
      </c>
      <c r="F41" s="99">
        <f>IF(MOD(F$7,12)=4,MAX(E41*(1+ASSUMPTION!$C$14),ASSUMPTION!$C$13),'MONTHLY REVENUE'!E41)</f>
        <v>0</v>
      </c>
      <c r="G41" s="99">
        <f>IF(MOD(G$7,12)=4,MAX(F41*(1+ASSUMPTION!$C$14),ASSUMPTION!$C$13),'MONTHLY REVENUE'!F41)</f>
        <v>0</v>
      </c>
      <c r="H41" s="99">
        <f>IF(MOD(H$7,12)=4,MAX(G41*(1+ASSUMPTION!$C$14),ASSUMPTION!$C$13),'MONTHLY REVENUE'!G41)</f>
        <v>0</v>
      </c>
      <c r="I41" s="99">
        <f>IF(MOD(I$7,12)=4,MAX(H41*(1+ASSUMPTION!$C$14),ASSUMPTION!$C$13),'MONTHLY REVENUE'!H41)</f>
        <v>1000</v>
      </c>
      <c r="J41" s="99">
        <f>IF(MOD(J$7,12)=4,MAX(I41*(1+ASSUMPTION!$C$14),ASSUMPTION!$C$13),'MONTHLY REVENUE'!I41)</f>
        <v>1000</v>
      </c>
      <c r="K41" s="99">
        <f>IF(MOD(K$7,12)=4,MAX(J41*(1+ASSUMPTION!$C$14),ASSUMPTION!$C$13),'MONTHLY REVENUE'!J41)</f>
        <v>1000</v>
      </c>
      <c r="L41" s="99">
        <f>IF(MOD(L$7,12)=4,MAX(K41*(1+ASSUMPTION!$C$14),ASSUMPTION!$C$13),'MONTHLY REVENUE'!K41)</f>
        <v>1000</v>
      </c>
      <c r="M41" s="99">
        <f>IF(MOD(M$7,12)=4,MAX(L41*(1+ASSUMPTION!$C$14),ASSUMPTION!$C$13),'MONTHLY REVENUE'!L41)</f>
        <v>1000</v>
      </c>
      <c r="N41" s="99">
        <f>IF(MOD(N$7,12)=4,MAX(M41*(1+ASSUMPTION!$C$14),ASSUMPTION!$C$13),'MONTHLY REVENUE'!M41)</f>
        <v>1000</v>
      </c>
      <c r="O41" s="99">
        <f>IF(MOD(O$7,12)=4,MAX(N41*(1+ASSUMPTION!$C$14),ASSUMPTION!$C$13),'MONTHLY REVENUE'!N41)</f>
        <v>1000</v>
      </c>
      <c r="P41" s="99">
        <f>IF(MOD(P$7,12)=4,MAX(O41*(1+ASSUMPTION!$C$14),ASSUMPTION!$C$13),'MONTHLY REVENUE'!O41)</f>
        <v>1000</v>
      </c>
      <c r="Q41" s="99">
        <f>IF(MOD(Q$7,12)=4,MAX(P41*(1+ASSUMPTION!$C$14),ASSUMPTION!$C$13),'MONTHLY REVENUE'!P41)</f>
        <v>1000</v>
      </c>
      <c r="R41" s="99">
        <f>IF(MOD(R$7,12)=4,MAX(Q41*(1+ASSUMPTION!$C$14),ASSUMPTION!$C$13),'MONTHLY REVENUE'!Q41)</f>
        <v>1000</v>
      </c>
      <c r="S41" s="99">
        <f>IF(MOD(S$7,12)=4,MAX(R41*(1+ASSUMPTION!$C$14),ASSUMPTION!$C$13),'MONTHLY REVENUE'!R41)</f>
        <v>1000</v>
      </c>
      <c r="T41" s="99">
        <f>IF(MOD(T$7,12)=4,MAX(S41*(1+ASSUMPTION!$C$14),ASSUMPTION!$C$13),'MONTHLY REVENUE'!S41)</f>
        <v>1000</v>
      </c>
      <c r="U41" s="99">
        <f>IF(MOD(U$7,12)=4,MAX(T41*(1+ASSUMPTION!$C$14),ASSUMPTION!$C$13),'MONTHLY REVENUE'!T41)</f>
        <v>1050</v>
      </c>
      <c r="V41" s="99">
        <f>IF(MOD(V$7,12)=4,MAX(U41*(1+ASSUMPTION!$C$14),ASSUMPTION!$C$13),'MONTHLY REVENUE'!U41)</f>
        <v>1050</v>
      </c>
      <c r="W41" s="99">
        <f>IF(MOD(W$7,12)=4,MAX(V41*(1+ASSUMPTION!$C$14),ASSUMPTION!$C$13),'MONTHLY REVENUE'!V41)</f>
        <v>1050</v>
      </c>
      <c r="X41" s="99">
        <f>IF(MOD(X$7,12)=4,MAX(W41*(1+ASSUMPTION!$C$14),ASSUMPTION!$C$13),'MONTHLY REVENUE'!W41)</f>
        <v>1050</v>
      </c>
      <c r="Y41" s="99">
        <f>IF(MOD(Y$7,12)=4,MAX(X41*(1+ASSUMPTION!$C$14),ASSUMPTION!$C$13),'MONTHLY REVENUE'!X41)</f>
        <v>1050</v>
      </c>
      <c r="Z41" s="99">
        <f>IF(MOD(Z$7,12)=4,MAX(Y41*(1+ASSUMPTION!$C$14),ASSUMPTION!$C$13),'MONTHLY REVENUE'!Y41)</f>
        <v>1050</v>
      </c>
      <c r="AA41" s="99">
        <f>IF(MOD(AA$7,12)=4,MAX(Z41*(1+ASSUMPTION!$C$14),ASSUMPTION!$C$13),'MONTHLY REVENUE'!Z41)</f>
        <v>1050</v>
      </c>
      <c r="AB41" s="99">
        <f>IF(MOD(AB$7,12)=4,MAX(AA41*(1+ASSUMPTION!$C$14),ASSUMPTION!$C$13),'MONTHLY REVENUE'!AA41)</f>
        <v>1050</v>
      </c>
      <c r="AC41" s="99">
        <f>IF(MOD(AC$7,12)=4,MAX(AB41*(1+ASSUMPTION!$C$14),ASSUMPTION!$C$13),'MONTHLY REVENUE'!AB41)</f>
        <v>1050</v>
      </c>
      <c r="AD41" s="99">
        <f>IF(MOD(AD$7,12)=4,MAX(AC41*(1+ASSUMPTION!$C$14),ASSUMPTION!$C$13),'MONTHLY REVENUE'!AC41)</f>
        <v>1050</v>
      </c>
      <c r="AE41" s="99">
        <f>IF(MOD(AE$7,12)=4,MAX(AD41*(1+ASSUMPTION!$C$14),ASSUMPTION!$C$13),'MONTHLY REVENUE'!AD41)</f>
        <v>1050</v>
      </c>
      <c r="AF41" s="99">
        <f>IF(MOD(AF$7,12)=4,MAX(AE41*(1+ASSUMPTION!$C$14),ASSUMPTION!$C$13),'MONTHLY REVENUE'!AE41)</f>
        <v>1050</v>
      </c>
      <c r="AG41" s="99">
        <f>IF(MOD(AG$7,12)=4,MAX(AF41*(1+ASSUMPTION!$C$14),ASSUMPTION!$C$13),'MONTHLY REVENUE'!AF41)</f>
        <v>1102.5</v>
      </c>
      <c r="AH41" s="99">
        <f>IF(MOD(AH$7,12)=4,MAX(AG41*(1+ASSUMPTION!$C$14),ASSUMPTION!$C$13),'MONTHLY REVENUE'!AG41)</f>
        <v>1102.5</v>
      </c>
      <c r="AI41" s="99">
        <f>IF(MOD(AI$7,12)=4,MAX(AH41*(1+ASSUMPTION!$C$14),ASSUMPTION!$C$13),'MONTHLY REVENUE'!AH41)</f>
        <v>1102.5</v>
      </c>
      <c r="AJ41" s="99">
        <f>IF(MOD(AJ$7,12)=4,MAX(AI41*(1+ASSUMPTION!$C$14),ASSUMPTION!$C$13),'MONTHLY REVENUE'!AI41)</f>
        <v>1102.5</v>
      </c>
      <c r="AK41" s="99">
        <f>IF(MOD(AK$7,12)=4,MAX(AJ41*(1+ASSUMPTION!$C$14),ASSUMPTION!$C$13),'MONTHLY REVENUE'!AJ41)</f>
        <v>1102.5</v>
      </c>
      <c r="AL41" s="99">
        <f>IF(MOD(AL$7,12)=4,MAX(AK41*(1+ASSUMPTION!$C$14),ASSUMPTION!$C$13),'MONTHLY REVENUE'!AK41)</f>
        <v>1102.5</v>
      </c>
      <c r="AM41" s="99">
        <f>IF(MOD(AM$7,12)=4,MAX(AL41*(1+ASSUMPTION!$C$14),ASSUMPTION!$C$13),'MONTHLY REVENUE'!AL41)</f>
        <v>1102.5</v>
      </c>
      <c r="AN41" s="99">
        <f>IF(MOD(AN$7,12)=4,MAX(AM41*(1+ASSUMPTION!$C$14),ASSUMPTION!$C$13),'MONTHLY REVENUE'!AM41)</f>
        <v>1102.5</v>
      </c>
      <c r="AO41" s="99">
        <f>IF(MOD(AO$7,12)=4,MAX(AN41*(1+ASSUMPTION!$C$14),ASSUMPTION!$C$13),'MONTHLY REVENUE'!AN41)</f>
        <v>1102.5</v>
      </c>
    </row>
    <row r="42" spans="1:41" s="108" customFormat="1" x14ac:dyDescent="0.3">
      <c r="A42" s="110" t="s">
        <v>114</v>
      </c>
      <c r="B42" s="111"/>
      <c r="C42" s="111"/>
      <c r="D42" s="111"/>
      <c r="E42" s="111"/>
      <c r="F42" s="108">
        <f>SUM(F39:F41)</f>
        <v>0</v>
      </c>
      <c r="G42" s="108">
        <f t="shared" ref="G42:AO42" si="6">SUM(G39:G41)</f>
        <v>0</v>
      </c>
      <c r="H42" s="108">
        <f t="shared" si="6"/>
        <v>0</v>
      </c>
      <c r="I42" s="108">
        <f t="shared" si="6"/>
        <v>1700</v>
      </c>
      <c r="J42" s="108">
        <f t="shared" si="6"/>
        <v>1700</v>
      </c>
      <c r="K42" s="108">
        <f t="shared" si="6"/>
        <v>1700</v>
      </c>
      <c r="L42" s="108">
        <f t="shared" si="6"/>
        <v>1700</v>
      </c>
      <c r="M42" s="108">
        <f t="shared" si="6"/>
        <v>1700</v>
      </c>
      <c r="N42" s="108">
        <f t="shared" si="6"/>
        <v>1700</v>
      </c>
      <c r="O42" s="108">
        <f t="shared" si="6"/>
        <v>1700</v>
      </c>
      <c r="P42" s="108">
        <f t="shared" si="6"/>
        <v>1700</v>
      </c>
      <c r="Q42" s="108">
        <f t="shared" si="6"/>
        <v>1700</v>
      </c>
      <c r="R42" s="108">
        <f t="shared" si="6"/>
        <v>1700</v>
      </c>
      <c r="S42" s="108">
        <f t="shared" si="6"/>
        <v>1700</v>
      </c>
      <c r="T42" s="108">
        <f t="shared" si="6"/>
        <v>1700</v>
      </c>
      <c r="U42" s="108">
        <f t="shared" si="6"/>
        <v>1785</v>
      </c>
      <c r="V42" s="108">
        <f t="shared" si="6"/>
        <v>1785</v>
      </c>
      <c r="W42" s="108">
        <f t="shared" si="6"/>
        <v>1785</v>
      </c>
      <c r="X42" s="108">
        <f t="shared" si="6"/>
        <v>1785</v>
      </c>
      <c r="Y42" s="108">
        <f t="shared" si="6"/>
        <v>1785</v>
      </c>
      <c r="Z42" s="108">
        <f t="shared" si="6"/>
        <v>1785</v>
      </c>
      <c r="AA42" s="108">
        <f t="shared" si="6"/>
        <v>1785</v>
      </c>
      <c r="AB42" s="108">
        <f t="shared" si="6"/>
        <v>1785</v>
      </c>
      <c r="AC42" s="108">
        <f t="shared" si="6"/>
        <v>1785</v>
      </c>
      <c r="AD42" s="108">
        <f t="shared" si="6"/>
        <v>1785</v>
      </c>
      <c r="AE42" s="108">
        <f t="shared" si="6"/>
        <v>1785</v>
      </c>
      <c r="AF42" s="108">
        <f t="shared" si="6"/>
        <v>1785</v>
      </c>
      <c r="AG42" s="108">
        <f t="shared" si="6"/>
        <v>1874.25</v>
      </c>
      <c r="AH42" s="108">
        <f t="shared" si="6"/>
        <v>1874.25</v>
      </c>
      <c r="AI42" s="108">
        <f t="shared" si="6"/>
        <v>1874.25</v>
      </c>
      <c r="AJ42" s="108">
        <f t="shared" si="6"/>
        <v>1874.25</v>
      </c>
      <c r="AK42" s="108">
        <f t="shared" si="6"/>
        <v>1874.25</v>
      </c>
      <c r="AL42" s="108">
        <f t="shared" si="6"/>
        <v>1874.25</v>
      </c>
      <c r="AM42" s="108">
        <f t="shared" si="6"/>
        <v>1874.25</v>
      </c>
      <c r="AN42" s="108">
        <f t="shared" si="6"/>
        <v>1874.25</v>
      </c>
      <c r="AO42" s="108">
        <f t="shared" si="6"/>
        <v>1874.25</v>
      </c>
    </row>
    <row r="43" spans="1:41" x14ac:dyDescent="0.3">
      <c r="A43" s="71"/>
    </row>
    <row r="44" spans="1:41" x14ac:dyDescent="0.3">
      <c r="A44" s="87" t="s">
        <v>111</v>
      </c>
    </row>
    <row r="45" spans="1:41" x14ac:dyDescent="0.3">
      <c r="A45" s="31" t="s">
        <v>12</v>
      </c>
      <c r="F45" s="99">
        <f>IF(MOD(F$7,12)=4,MAX(E45*(1+ASSUMPTION!$C$14),ASSUMPTION!$G$11),'MONTHLY REVENUE'!E45)</f>
        <v>0</v>
      </c>
      <c r="G45" s="99">
        <f>IF(MOD(G$7,12)=4,MAX(F45*(1+ASSUMPTION!$C$14),ASSUMPTION!$G$11),'MONTHLY REVENUE'!F45)</f>
        <v>0</v>
      </c>
      <c r="H45" s="99">
        <f>IF(MOD(H$7,12)=4,MAX(G45*(1+ASSUMPTION!$C$14),ASSUMPTION!$G$11),'MONTHLY REVENUE'!G45)</f>
        <v>0</v>
      </c>
      <c r="I45" s="99">
        <f>IF(MOD(I$7,12)=4,MAX(H45*(1+ASSUMPTION!$C$14),ASSUMPTION!$G$11),'MONTHLY REVENUE'!H45)</f>
        <v>650</v>
      </c>
      <c r="J45" s="99">
        <f>IF(MOD(J$7,12)=4,MAX(I45*(1+ASSUMPTION!$C$14),ASSUMPTION!$G$11),'MONTHLY REVENUE'!I45)</f>
        <v>650</v>
      </c>
      <c r="K45" s="99">
        <f>IF(MOD(K$7,12)=4,MAX(J45*(1+ASSUMPTION!$C$14),ASSUMPTION!$G$11),'MONTHLY REVENUE'!J45)</f>
        <v>650</v>
      </c>
      <c r="L45" s="99">
        <f>IF(MOD(L$7,12)=4,MAX(K45*(1+ASSUMPTION!$C$14),ASSUMPTION!$G$11),'MONTHLY REVENUE'!K45)</f>
        <v>650</v>
      </c>
      <c r="M45" s="99">
        <f>IF(MOD(M$7,12)=4,MAX(L45*(1+ASSUMPTION!$C$14),ASSUMPTION!$G$11),'MONTHLY REVENUE'!L45)</f>
        <v>650</v>
      </c>
      <c r="N45" s="99">
        <f>IF(MOD(N$7,12)=4,MAX(M45*(1+ASSUMPTION!$C$14),ASSUMPTION!$G$11),'MONTHLY REVENUE'!M45)</f>
        <v>650</v>
      </c>
      <c r="O45" s="99">
        <f>IF(MOD(O$7,12)=4,MAX(N45*(1+ASSUMPTION!$C$14),ASSUMPTION!$G$11),'MONTHLY REVENUE'!N45)</f>
        <v>650</v>
      </c>
      <c r="P45" s="99">
        <f>IF(MOD(P$7,12)=4,MAX(O45*(1+ASSUMPTION!$C$14),ASSUMPTION!$G$11),'MONTHLY REVENUE'!O45)</f>
        <v>650</v>
      </c>
      <c r="Q45" s="99">
        <f>IF(MOD(Q$7,12)=4,MAX(P45*(1+ASSUMPTION!$C$14),ASSUMPTION!$G$11),'MONTHLY REVENUE'!P45)</f>
        <v>650</v>
      </c>
      <c r="R45" s="99">
        <f>IF(MOD(R$7,12)=4,MAX(Q45*(1+ASSUMPTION!$C$14),ASSUMPTION!$G$11),'MONTHLY REVENUE'!Q45)</f>
        <v>650</v>
      </c>
      <c r="S45" s="99">
        <f>IF(MOD(S$7,12)=4,MAX(R45*(1+ASSUMPTION!$C$14),ASSUMPTION!$G$11),'MONTHLY REVENUE'!R45)</f>
        <v>650</v>
      </c>
      <c r="T45" s="99">
        <f>IF(MOD(T$7,12)=4,MAX(S45*(1+ASSUMPTION!$C$14),ASSUMPTION!$G$11),'MONTHLY REVENUE'!S45)</f>
        <v>650</v>
      </c>
      <c r="U45" s="99">
        <f>IF(MOD(U$7,12)=4,MAX(T45*(1+ASSUMPTION!$C$14),ASSUMPTION!$G$11),'MONTHLY REVENUE'!T45)</f>
        <v>682.5</v>
      </c>
      <c r="V45" s="99">
        <f>IF(MOD(V$7,12)=4,MAX(U45*(1+ASSUMPTION!$C$14),ASSUMPTION!$G$11),'MONTHLY REVENUE'!U45)</f>
        <v>682.5</v>
      </c>
      <c r="W45" s="99">
        <f>IF(MOD(W$7,12)=4,MAX(V45*(1+ASSUMPTION!$C$14),ASSUMPTION!$G$11),'MONTHLY REVENUE'!V45)</f>
        <v>682.5</v>
      </c>
      <c r="X45" s="99">
        <f>IF(MOD(X$7,12)=4,MAX(W45*(1+ASSUMPTION!$C$14),ASSUMPTION!$G$11),'MONTHLY REVENUE'!W45)</f>
        <v>682.5</v>
      </c>
      <c r="Y45" s="99">
        <f>IF(MOD(Y$7,12)=4,MAX(X45*(1+ASSUMPTION!$C$14),ASSUMPTION!$G$11),'MONTHLY REVENUE'!X45)</f>
        <v>682.5</v>
      </c>
      <c r="Z45" s="99">
        <f>IF(MOD(Z$7,12)=4,MAX(Y45*(1+ASSUMPTION!$C$14),ASSUMPTION!$G$11),'MONTHLY REVENUE'!Y45)</f>
        <v>682.5</v>
      </c>
      <c r="AA45" s="99">
        <f>IF(MOD(AA$7,12)=4,MAX(Z45*(1+ASSUMPTION!$C$14),ASSUMPTION!$G$11),'MONTHLY REVENUE'!Z45)</f>
        <v>682.5</v>
      </c>
      <c r="AB45" s="99">
        <f>IF(MOD(AB$7,12)=4,MAX(AA45*(1+ASSUMPTION!$C$14),ASSUMPTION!$G$11),'MONTHLY REVENUE'!AA45)</f>
        <v>682.5</v>
      </c>
      <c r="AC45" s="99">
        <f>IF(MOD(AC$7,12)=4,MAX(AB45*(1+ASSUMPTION!$C$14),ASSUMPTION!$G$11),'MONTHLY REVENUE'!AB45)</f>
        <v>682.5</v>
      </c>
      <c r="AD45" s="99">
        <f>IF(MOD(AD$7,12)=4,MAX(AC45*(1+ASSUMPTION!$C$14),ASSUMPTION!$G$11),'MONTHLY REVENUE'!AC45)</f>
        <v>682.5</v>
      </c>
      <c r="AE45" s="99">
        <f>IF(MOD(AE$7,12)=4,MAX(AD45*(1+ASSUMPTION!$C$14),ASSUMPTION!$G$11),'MONTHLY REVENUE'!AD45)</f>
        <v>682.5</v>
      </c>
      <c r="AF45" s="99">
        <f>IF(MOD(AF$7,12)=4,MAX(AE45*(1+ASSUMPTION!$C$14),ASSUMPTION!$G$11),'MONTHLY REVENUE'!AE45)</f>
        <v>682.5</v>
      </c>
      <c r="AG45" s="99">
        <f>IF(MOD(AG$7,12)=4,MAX(AF45*(1+ASSUMPTION!$C$14),ASSUMPTION!$G$11),'MONTHLY REVENUE'!AF45)</f>
        <v>716.625</v>
      </c>
      <c r="AH45" s="99">
        <f>IF(MOD(AH$7,12)=4,MAX(AG45*(1+ASSUMPTION!$C$14),ASSUMPTION!$G$11),'MONTHLY REVENUE'!AG45)</f>
        <v>716.625</v>
      </c>
      <c r="AI45" s="99">
        <f>IF(MOD(AI$7,12)=4,MAX(AH45*(1+ASSUMPTION!$C$14),ASSUMPTION!$G$11),'MONTHLY REVENUE'!AH45)</f>
        <v>716.625</v>
      </c>
      <c r="AJ45" s="99">
        <f>IF(MOD(AJ$7,12)=4,MAX(AI45*(1+ASSUMPTION!$C$14),ASSUMPTION!$G$11),'MONTHLY REVENUE'!AI45)</f>
        <v>716.625</v>
      </c>
      <c r="AK45" s="99">
        <f>IF(MOD(AK$7,12)=4,MAX(AJ45*(1+ASSUMPTION!$C$14),ASSUMPTION!$G$11),'MONTHLY REVENUE'!AJ45)</f>
        <v>716.625</v>
      </c>
      <c r="AL45" s="99">
        <f>IF(MOD(AL$7,12)=4,MAX(AK45*(1+ASSUMPTION!$C$14),ASSUMPTION!$G$11),'MONTHLY REVENUE'!AK45)</f>
        <v>716.625</v>
      </c>
      <c r="AM45" s="99">
        <f>IF(MOD(AM$7,12)=4,MAX(AL45*(1+ASSUMPTION!$C$14),ASSUMPTION!$G$11),'MONTHLY REVENUE'!AL45)</f>
        <v>716.625</v>
      </c>
      <c r="AN45" s="99">
        <f>IF(MOD(AN$7,12)=4,MAX(AM45*(1+ASSUMPTION!$C$14),ASSUMPTION!$G$11),'MONTHLY REVENUE'!AM45)</f>
        <v>716.625</v>
      </c>
      <c r="AO45" s="99">
        <f>IF(MOD(AO$7,12)=4,MAX(AN45*(1+ASSUMPTION!$C$14),ASSUMPTION!$G$11),'MONTHLY REVENUE'!AN45)</f>
        <v>716.625</v>
      </c>
    </row>
    <row r="46" spans="1:41" x14ac:dyDescent="0.3">
      <c r="A46" s="31" t="s">
        <v>13</v>
      </c>
      <c r="F46" s="99">
        <f>IF(MOD(F$7,12)=4,MAX(E46*(1+ASSUMPTION!$C$14),ASSUMPTION!$G$12),'MONTHLY REVENUE'!E46)</f>
        <v>0</v>
      </c>
      <c r="G46" s="99">
        <f>IF(MOD(G$7,12)=4,MAX(F46*(1+ASSUMPTION!$C$14),ASSUMPTION!$G$12),'MONTHLY REVENUE'!F46)</f>
        <v>0</v>
      </c>
      <c r="H46" s="99">
        <f>IF(MOD(H$7,12)=4,MAX(G46*(1+ASSUMPTION!$C$14),ASSUMPTION!$G$12),'MONTHLY REVENUE'!G46)</f>
        <v>0</v>
      </c>
      <c r="I46" s="99">
        <f>IF(MOD(I$7,12)=4,MAX(H46*(1+ASSUMPTION!$C$14),ASSUMPTION!$G$12),'MONTHLY REVENUE'!H46)</f>
        <v>250</v>
      </c>
      <c r="J46" s="99">
        <f>IF(MOD(J$7,12)=4,MAX(I46*(1+ASSUMPTION!$C$14),ASSUMPTION!$G$12),'MONTHLY REVENUE'!I46)</f>
        <v>250</v>
      </c>
      <c r="K46" s="99">
        <f>IF(MOD(K$7,12)=4,MAX(J46*(1+ASSUMPTION!$C$14),ASSUMPTION!$G$12),'MONTHLY REVENUE'!J46)</f>
        <v>250</v>
      </c>
      <c r="L46" s="99">
        <f>IF(MOD(L$7,12)=4,MAX(K46*(1+ASSUMPTION!$C$14),ASSUMPTION!$G$12),'MONTHLY REVENUE'!K46)</f>
        <v>250</v>
      </c>
      <c r="M46" s="99">
        <f>IF(MOD(M$7,12)=4,MAX(L46*(1+ASSUMPTION!$C$14),ASSUMPTION!$G$12),'MONTHLY REVENUE'!L46)</f>
        <v>250</v>
      </c>
      <c r="N46" s="99">
        <f>IF(MOD(N$7,12)=4,MAX(M46*(1+ASSUMPTION!$C$14),ASSUMPTION!$G$12),'MONTHLY REVENUE'!M46)</f>
        <v>250</v>
      </c>
      <c r="O46" s="99">
        <f>IF(MOD(O$7,12)=4,MAX(N46*(1+ASSUMPTION!$C$14),ASSUMPTION!$G$12),'MONTHLY REVENUE'!N46)</f>
        <v>250</v>
      </c>
      <c r="P46" s="99">
        <f>IF(MOD(P$7,12)=4,MAX(O46*(1+ASSUMPTION!$C$14),ASSUMPTION!$G$12),'MONTHLY REVENUE'!O46)</f>
        <v>250</v>
      </c>
      <c r="Q46" s="99">
        <f>IF(MOD(Q$7,12)=4,MAX(P46*(1+ASSUMPTION!$C$14),ASSUMPTION!$G$12),'MONTHLY REVENUE'!P46)</f>
        <v>250</v>
      </c>
      <c r="R46" s="99">
        <f>IF(MOD(R$7,12)=4,MAX(Q46*(1+ASSUMPTION!$C$14),ASSUMPTION!$G$12),'MONTHLY REVENUE'!Q46)</f>
        <v>250</v>
      </c>
      <c r="S46" s="99">
        <f>IF(MOD(S$7,12)=4,MAX(R46*(1+ASSUMPTION!$C$14),ASSUMPTION!$G$12),'MONTHLY REVENUE'!R46)</f>
        <v>250</v>
      </c>
      <c r="T46" s="99">
        <f>IF(MOD(T$7,12)=4,MAX(S46*(1+ASSUMPTION!$C$14),ASSUMPTION!$G$12),'MONTHLY REVENUE'!S46)</f>
        <v>250</v>
      </c>
      <c r="U46" s="99">
        <f>IF(MOD(U$7,12)=4,MAX(T46*(1+ASSUMPTION!$C$14),ASSUMPTION!$G$12),'MONTHLY REVENUE'!T46)</f>
        <v>262.5</v>
      </c>
      <c r="V46" s="99">
        <f>IF(MOD(V$7,12)=4,MAX(U46*(1+ASSUMPTION!$C$14),ASSUMPTION!$G$12),'MONTHLY REVENUE'!U46)</f>
        <v>262.5</v>
      </c>
      <c r="W46" s="99">
        <f>IF(MOD(W$7,12)=4,MAX(V46*(1+ASSUMPTION!$C$14),ASSUMPTION!$G$12),'MONTHLY REVENUE'!V46)</f>
        <v>262.5</v>
      </c>
      <c r="X46" s="99">
        <f>IF(MOD(X$7,12)=4,MAX(W46*(1+ASSUMPTION!$C$14),ASSUMPTION!$G$12),'MONTHLY REVENUE'!W46)</f>
        <v>262.5</v>
      </c>
      <c r="Y46" s="99">
        <f>IF(MOD(Y$7,12)=4,MAX(X46*(1+ASSUMPTION!$C$14),ASSUMPTION!$G$12),'MONTHLY REVENUE'!X46)</f>
        <v>262.5</v>
      </c>
      <c r="Z46" s="99">
        <f>IF(MOD(Z$7,12)=4,MAX(Y46*(1+ASSUMPTION!$C$14),ASSUMPTION!$G$12),'MONTHLY REVENUE'!Y46)</f>
        <v>262.5</v>
      </c>
      <c r="AA46" s="99">
        <f>IF(MOD(AA$7,12)=4,MAX(Z46*(1+ASSUMPTION!$C$14),ASSUMPTION!$G$12),'MONTHLY REVENUE'!Z46)</f>
        <v>262.5</v>
      </c>
      <c r="AB46" s="99">
        <f>IF(MOD(AB$7,12)=4,MAX(AA46*(1+ASSUMPTION!$C$14),ASSUMPTION!$G$12),'MONTHLY REVENUE'!AA46)</f>
        <v>262.5</v>
      </c>
      <c r="AC46" s="99">
        <f>IF(MOD(AC$7,12)=4,MAX(AB46*(1+ASSUMPTION!$C$14),ASSUMPTION!$G$12),'MONTHLY REVENUE'!AB46)</f>
        <v>262.5</v>
      </c>
      <c r="AD46" s="99">
        <f>IF(MOD(AD$7,12)=4,MAX(AC46*(1+ASSUMPTION!$C$14),ASSUMPTION!$G$12),'MONTHLY REVENUE'!AC46)</f>
        <v>262.5</v>
      </c>
      <c r="AE46" s="99">
        <f>IF(MOD(AE$7,12)=4,MAX(AD46*(1+ASSUMPTION!$C$14),ASSUMPTION!$G$12),'MONTHLY REVENUE'!AD46)</f>
        <v>262.5</v>
      </c>
      <c r="AF46" s="99">
        <f>IF(MOD(AF$7,12)=4,MAX(AE46*(1+ASSUMPTION!$C$14),ASSUMPTION!$G$12),'MONTHLY REVENUE'!AE46)</f>
        <v>262.5</v>
      </c>
      <c r="AG46" s="99">
        <f>IF(MOD(AG$7,12)=4,MAX(AF46*(1+ASSUMPTION!$C$14),ASSUMPTION!$G$12),'MONTHLY REVENUE'!AF46)</f>
        <v>275.625</v>
      </c>
      <c r="AH46" s="99">
        <f>IF(MOD(AH$7,12)=4,MAX(AG46*(1+ASSUMPTION!$C$14),ASSUMPTION!$G$12),'MONTHLY REVENUE'!AG46)</f>
        <v>275.625</v>
      </c>
      <c r="AI46" s="99">
        <f>IF(MOD(AI$7,12)=4,MAX(AH46*(1+ASSUMPTION!$C$14),ASSUMPTION!$G$12),'MONTHLY REVENUE'!AH46)</f>
        <v>275.625</v>
      </c>
      <c r="AJ46" s="99">
        <f>IF(MOD(AJ$7,12)=4,MAX(AI46*(1+ASSUMPTION!$C$14),ASSUMPTION!$G$12),'MONTHLY REVENUE'!AI46)</f>
        <v>275.625</v>
      </c>
      <c r="AK46" s="99">
        <f>IF(MOD(AK$7,12)=4,MAX(AJ46*(1+ASSUMPTION!$C$14),ASSUMPTION!$G$12),'MONTHLY REVENUE'!AJ46)</f>
        <v>275.625</v>
      </c>
      <c r="AL46" s="99">
        <f>IF(MOD(AL$7,12)=4,MAX(AK46*(1+ASSUMPTION!$C$14),ASSUMPTION!$G$12),'MONTHLY REVENUE'!AK46)</f>
        <v>275.625</v>
      </c>
      <c r="AM46" s="99">
        <f>IF(MOD(AM$7,12)=4,MAX(AL46*(1+ASSUMPTION!$C$14),ASSUMPTION!$G$12),'MONTHLY REVENUE'!AL46)</f>
        <v>275.625</v>
      </c>
      <c r="AN46" s="99">
        <f>IF(MOD(AN$7,12)=4,MAX(AM46*(1+ASSUMPTION!$C$14),ASSUMPTION!$G$12),'MONTHLY REVENUE'!AM46)</f>
        <v>275.625</v>
      </c>
      <c r="AO46" s="99">
        <f>IF(MOD(AO$7,12)=4,MAX(AN46*(1+ASSUMPTION!$C$14),ASSUMPTION!$G$12),'MONTHLY REVENUE'!AN46)</f>
        <v>275.625</v>
      </c>
    </row>
    <row r="47" spans="1:41" x14ac:dyDescent="0.3">
      <c r="A47" s="31" t="s">
        <v>14</v>
      </c>
      <c r="F47" s="99">
        <f>IF(MOD(F$7,12)=4,MAX(E47*(1+ASSUMPTION!$C$14),ASSUMPTION!$G$13),'MONTHLY REVENUE'!E47)</f>
        <v>0</v>
      </c>
      <c r="G47" s="99">
        <f>IF(MOD(G$7,12)=4,MAX(F47*(1+ASSUMPTION!$C$14),ASSUMPTION!$G$13),'MONTHLY REVENUE'!F47)</f>
        <v>0</v>
      </c>
      <c r="H47" s="99">
        <f>IF(MOD(H$7,12)=4,MAX(G47*(1+ASSUMPTION!$C$14),ASSUMPTION!$G$13),'MONTHLY REVENUE'!G47)</f>
        <v>0</v>
      </c>
      <c r="I47" s="99">
        <f>IF(MOD(I$7,12)=4,MAX(H47*(1+ASSUMPTION!$C$14),ASSUMPTION!$G$13),'MONTHLY REVENUE'!H47)</f>
        <v>1000</v>
      </c>
      <c r="J47" s="99">
        <f>IF(MOD(J$7,12)=4,MAX(I47*(1+ASSUMPTION!$C$14),ASSUMPTION!$G$13),'MONTHLY REVENUE'!I47)</f>
        <v>1000</v>
      </c>
      <c r="K47" s="99">
        <f>IF(MOD(K$7,12)=4,MAX(J47*(1+ASSUMPTION!$C$14),ASSUMPTION!$G$13),'MONTHLY REVENUE'!J47)</f>
        <v>1000</v>
      </c>
      <c r="L47" s="99">
        <f>IF(MOD(L$7,12)=4,MAX(K47*(1+ASSUMPTION!$C$14),ASSUMPTION!$G$13),'MONTHLY REVENUE'!K47)</f>
        <v>1000</v>
      </c>
      <c r="M47" s="99">
        <f>IF(MOD(M$7,12)=4,MAX(L47*(1+ASSUMPTION!$C$14),ASSUMPTION!$G$13),'MONTHLY REVENUE'!L47)</f>
        <v>1000</v>
      </c>
      <c r="N47" s="99">
        <f>IF(MOD(N$7,12)=4,MAX(M47*(1+ASSUMPTION!$C$14),ASSUMPTION!$G$13),'MONTHLY REVENUE'!M47)</f>
        <v>1000</v>
      </c>
      <c r="O47" s="99">
        <f>IF(MOD(O$7,12)=4,MAX(N47*(1+ASSUMPTION!$C$14),ASSUMPTION!$G$13),'MONTHLY REVENUE'!N47)</f>
        <v>1000</v>
      </c>
      <c r="P47" s="99">
        <f>IF(MOD(P$7,12)=4,MAX(O47*(1+ASSUMPTION!$C$14),ASSUMPTION!$G$13),'MONTHLY REVENUE'!O47)</f>
        <v>1000</v>
      </c>
      <c r="Q47" s="99">
        <f>IF(MOD(Q$7,12)=4,MAX(P47*(1+ASSUMPTION!$C$14),ASSUMPTION!$G$13),'MONTHLY REVENUE'!P47)</f>
        <v>1000</v>
      </c>
      <c r="R47" s="99">
        <f>IF(MOD(R$7,12)=4,MAX(Q47*(1+ASSUMPTION!$C$14),ASSUMPTION!$G$13),'MONTHLY REVENUE'!Q47)</f>
        <v>1000</v>
      </c>
      <c r="S47" s="99">
        <f>IF(MOD(S$7,12)=4,MAX(R47*(1+ASSUMPTION!$C$14),ASSUMPTION!$G$13),'MONTHLY REVENUE'!R47)</f>
        <v>1000</v>
      </c>
      <c r="T47" s="99">
        <f>IF(MOD(T$7,12)=4,MAX(S47*(1+ASSUMPTION!$C$14),ASSUMPTION!$G$13),'MONTHLY REVENUE'!S47)</f>
        <v>1000</v>
      </c>
      <c r="U47" s="99">
        <f>IF(MOD(U$7,12)=4,MAX(T47*(1+ASSUMPTION!$C$14),ASSUMPTION!$G$13),'MONTHLY REVENUE'!T47)</f>
        <v>1050</v>
      </c>
      <c r="V47" s="99">
        <f>IF(MOD(V$7,12)=4,MAX(U47*(1+ASSUMPTION!$C$14),ASSUMPTION!$G$13),'MONTHLY REVENUE'!U47)</f>
        <v>1050</v>
      </c>
      <c r="W47" s="99">
        <f>IF(MOD(W$7,12)=4,MAX(V47*(1+ASSUMPTION!$C$14),ASSUMPTION!$G$13),'MONTHLY REVENUE'!V47)</f>
        <v>1050</v>
      </c>
      <c r="X47" s="99">
        <f>IF(MOD(X$7,12)=4,MAX(W47*(1+ASSUMPTION!$C$14),ASSUMPTION!$G$13),'MONTHLY REVENUE'!W47)</f>
        <v>1050</v>
      </c>
      <c r="Y47" s="99">
        <f>IF(MOD(Y$7,12)=4,MAX(X47*(1+ASSUMPTION!$C$14),ASSUMPTION!$G$13),'MONTHLY REVENUE'!X47)</f>
        <v>1050</v>
      </c>
      <c r="Z47" s="99">
        <f>IF(MOD(Z$7,12)=4,MAX(Y47*(1+ASSUMPTION!$C$14),ASSUMPTION!$G$13),'MONTHLY REVENUE'!Y47)</f>
        <v>1050</v>
      </c>
      <c r="AA47" s="99">
        <f>IF(MOD(AA$7,12)=4,MAX(Z47*(1+ASSUMPTION!$C$14),ASSUMPTION!$G$13),'MONTHLY REVENUE'!Z47)</f>
        <v>1050</v>
      </c>
      <c r="AB47" s="99">
        <f>IF(MOD(AB$7,12)=4,MAX(AA47*(1+ASSUMPTION!$C$14),ASSUMPTION!$G$13),'MONTHLY REVENUE'!AA47)</f>
        <v>1050</v>
      </c>
      <c r="AC47" s="99">
        <f>IF(MOD(AC$7,12)=4,MAX(AB47*(1+ASSUMPTION!$C$14),ASSUMPTION!$G$13),'MONTHLY REVENUE'!AB47)</f>
        <v>1050</v>
      </c>
      <c r="AD47" s="99">
        <f>IF(MOD(AD$7,12)=4,MAX(AC47*(1+ASSUMPTION!$C$14),ASSUMPTION!$G$13),'MONTHLY REVENUE'!AC47)</f>
        <v>1050</v>
      </c>
      <c r="AE47" s="99">
        <f>IF(MOD(AE$7,12)=4,MAX(AD47*(1+ASSUMPTION!$C$14),ASSUMPTION!$G$13),'MONTHLY REVENUE'!AD47)</f>
        <v>1050</v>
      </c>
      <c r="AF47" s="99">
        <f>IF(MOD(AF$7,12)=4,MAX(AE47*(1+ASSUMPTION!$C$14),ASSUMPTION!$G$13),'MONTHLY REVENUE'!AE47)</f>
        <v>1050</v>
      </c>
      <c r="AG47" s="99">
        <f>IF(MOD(AG$7,12)=4,MAX(AF47*(1+ASSUMPTION!$C$14),ASSUMPTION!$G$13),'MONTHLY REVENUE'!AF47)</f>
        <v>1102.5</v>
      </c>
      <c r="AH47" s="99">
        <f>IF(MOD(AH$7,12)=4,MAX(AG47*(1+ASSUMPTION!$C$14),ASSUMPTION!$G$13),'MONTHLY REVENUE'!AG47)</f>
        <v>1102.5</v>
      </c>
      <c r="AI47" s="99">
        <f>IF(MOD(AI$7,12)=4,MAX(AH47*(1+ASSUMPTION!$C$14),ASSUMPTION!$G$13),'MONTHLY REVENUE'!AH47)</f>
        <v>1102.5</v>
      </c>
      <c r="AJ47" s="99">
        <f>IF(MOD(AJ$7,12)=4,MAX(AI47*(1+ASSUMPTION!$C$14),ASSUMPTION!$G$13),'MONTHLY REVENUE'!AI47)</f>
        <v>1102.5</v>
      </c>
      <c r="AK47" s="99">
        <f>IF(MOD(AK$7,12)=4,MAX(AJ47*(1+ASSUMPTION!$C$14),ASSUMPTION!$G$13),'MONTHLY REVENUE'!AJ47)</f>
        <v>1102.5</v>
      </c>
      <c r="AL47" s="99">
        <f>IF(MOD(AL$7,12)=4,MAX(AK47*(1+ASSUMPTION!$C$14),ASSUMPTION!$G$13),'MONTHLY REVENUE'!AK47)</f>
        <v>1102.5</v>
      </c>
      <c r="AM47" s="99">
        <f>IF(MOD(AM$7,12)=4,MAX(AL47*(1+ASSUMPTION!$C$14),ASSUMPTION!$G$13),'MONTHLY REVENUE'!AL47)</f>
        <v>1102.5</v>
      </c>
      <c r="AN47" s="99">
        <f>IF(MOD(AN$7,12)=4,MAX(AM47*(1+ASSUMPTION!$C$14),ASSUMPTION!$G$13),'MONTHLY REVENUE'!AM47)</f>
        <v>1102.5</v>
      </c>
      <c r="AO47" s="99">
        <f>IF(MOD(AO$7,12)=4,MAX(AN47*(1+ASSUMPTION!$C$14),ASSUMPTION!$G$13),'MONTHLY REVENUE'!AN47)</f>
        <v>1102.5</v>
      </c>
    </row>
    <row r="48" spans="1:41" s="109" customFormat="1" x14ac:dyDescent="0.3">
      <c r="A48" s="106" t="s">
        <v>115</v>
      </c>
      <c r="B48" s="107"/>
      <c r="C48" s="107"/>
      <c r="D48" s="107"/>
      <c r="E48" s="107"/>
      <c r="F48" s="108">
        <f>SUM(F45:F47)</f>
        <v>0</v>
      </c>
      <c r="G48" s="108">
        <f t="shared" ref="G48:AO48" si="7">SUM(G45:G47)</f>
        <v>0</v>
      </c>
      <c r="H48" s="108">
        <f t="shared" si="7"/>
        <v>0</v>
      </c>
      <c r="I48" s="108">
        <f t="shared" si="7"/>
        <v>1900</v>
      </c>
      <c r="J48" s="108">
        <f t="shared" si="7"/>
        <v>1900</v>
      </c>
      <c r="K48" s="108">
        <f t="shared" si="7"/>
        <v>1900</v>
      </c>
      <c r="L48" s="108">
        <f t="shared" si="7"/>
        <v>1900</v>
      </c>
      <c r="M48" s="108">
        <f t="shared" si="7"/>
        <v>1900</v>
      </c>
      <c r="N48" s="108">
        <f t="shared" si="7"/>
        <v>1900</v>
      </c>
      <c r="O48" s="108">
        <f t="shared" si="7"/>
        <v>1900</v>
      </c>
      <c r="P48" s="108">
        <f t="shared" si="7"/>
        <v>1900</v>
      </c>
      <c r="Q48" s="108">
        <f t="shared" si="7"/>
        <v>1900</v>
      </c>
      <c r="R48" s="108">
        <f t="shared" si="7"/>
        <v>1900</v>
      </c>
      <c r="S48" s="108">
        <f t="shared" si="7"/>
        <v>1900</v>
      </c>
      <c r="T48" s="108">
        <f t="shared" si="7"/>
        <v>1900</v>
      </c>
      <c r="U48" s="108">
        <f t="shared" si="7"/>
        <v>1995</v>
      </c>
      <c r="V48" s="108">
        <f t="shared" si="7"/>
        <v>1995</v>
      </c>
      <c r="W48" s="108">
        <f t="shared" si="7"/>
        <v>1995</v>
      </c>
      <c r="X48" s="108">
        <f t="shared" si="7"/>
        <v>1995</v>
      </c>
      <c r="Y48" s="108">
        <f t="shared" si="7"/>
        <v>1995</v>
      </c>
      <c r="Z48" s="108">
        <f t="shared" si="7"/>
        <v>1995</v>
      </c>
      <c r="AA48" s="108">
        <f t="shared" si="7"/>
        <v>1995</v>
      </c>
      <c r="AB48" s="108">
        <f t="shared" si="7"/>
        <v>1995</v>
      </c>
      <c r="AC48" s="108">
        <f t="shared" si="7"/>
        <v>1995</v>
      </c>
      <c r="AD48" s="108">
        <f t="shared" si="7"/>
        <v>1995</v>
      </c>
      <c r="AE48" s="108">
        <f t="shared" si="7"/>
        <v>1995</v>
      </c>
      <c r="AF48" s="108">
        <f t="shared" si="7"/>
        <v>1995</v>
      </c>
      <c r="AG48" s="108">
        <f t="shared" si="7"/>
        <v>2094.75</v>
      </c>
      <c r="AH48" s="108">
        <f t="shared" si="7"/>
        <v>2094.75</v>
      </c>
      <c r="AI48" s="108">
        <f t="shared" si="7"/>
        <v>2094.75</v>
      </c>
      <c r="AJ48" s="108">
        <f t="shared" si="7"/>
        <v>2094.75</v>
      </c>
      <c r="AK48" s="108">
        <f t="shared" si="7"/>
        <v>2094.75</v>
      </c>
      <c r="AL48" s="108">
        <f t="shared" si="7"/>
        <v>2094.75</v>
      </c>
      <c r="AM48" s="108">
        <f t="shared" si="7"/>
        <v>2094.75</v>
      </c>
      <c r="AN48" s="108">
        <f t="shared" si="7"/>
        <v>2094.75</v>
      </c>
      <c r="AO48" s="108">
        <f t="shared" si="7"/>
        <v>2094.75</v>
      </c>
    </row>
    <row r="50" spans="1:41" x14ac:dyDescent="0.3">
      <c r="A50" s="71" t="s">
        <v>116</v>
      </c>
    </row>
    <row r="51" spans="1:41" x14ac:dyDescent="0.3">
      <c r="A51" s="114" t="s">
        <v>109</v>
      </c>
    </row>
    <row r="52" spans="1:41" x14ac:dyDescent="0.3">
      <c r="A52" s="87" t="s">
        <v>110</v>
      </c>
    </row>
    <row r="53" spans="1:41" x14ac:dyDescent="0.3">
      <c r="A53" s="31" t="s">
        <v>12</v>
      </c>
      <c r="F53" s="98">
        <f t="shared" ref="F53:AO53" si="8">F26*F$15*F$10/DEN</f>
        <v>0</v>
      </c>
      <c r="G53" s="98">
        <f t="shared" si="8"/>
        <v>0</v>
      </c>
      <c r="H53" s="98">
        <f t="shared" si="8"/>
        <v>0</v>
      </c>
      <c r="I53" s="98">
        <f t="shared" si="8"/>
        <v>1.38</v>
      </c>
      <c r="J53" s="98">
        <f t="shared" si="8"/>
        <v>1.2851999999999999</v>
      </c>
      <c r="K53" s="98">
        <f t="shared" si="8"/>
        <v>1.3733279999999999</v>
      </c>
      <c r="L53" s="98">
        <f t="shared" si="8"/>
        <v>1.40079456</v>
      </c>
      <c r="M53" s="98">
        <f t="shared" si="8"/>
        <v>1.3638645216</v>
      </c>
      <c r="N53" s="98">
        <f t="shared" si="8"/>
        <v>1.5236315084160004</v>
      </c>
      <c r="O53" s="98">
        <f t="shared" si="8"/>
        <v>1.4189646482726401</v>
      </c>
      <c r="P53" s="98">
        <f t="shared" si="8"/>
        <v>1.3784228011791362</v>
      </c>
      <c r="Q53" s="98">
        <f t="shared" si="8"/>
        <v>1.6168899457831265</v>
      </c>
      <c r="R53" s="98">
        <f t="shared" si="8"/>
        <v>1.5775221905814505</v>
      </c>
      <c r="S53" s="98">
        <f t="shared" si="8"/>
        <v>1.5359329691933938</v>
      </c>
      <c r="T53" s="98">
        <f t="shared" si="8"/>
        <v>1.6412540870809413</v>
      </c>
      <c r="U53" s="98">
        <f t="shared" si="8"/>
        <v>1.7577831272636877</v>
      </c>
      <c r="V53" s="98">
        <f t="shared" si="8"/>
        <v>1.7929387898089615</v>
      </c>
      <c r="W53" s="98">
        <f t="shared" si="8"/>
        <v>1.8287975656051407</v>
      </c>
      <c r="X53" s="98">
        <f t="shared" si="8"/>
        <v>1.7805838116028236</v>
      </c>
      <c r="Y53" s="98">
        <f t="shared" si="8"/>
        <v>1.902680987255589</v>
      </c>
      <c r="Z53" s="98">
        <f t="shared" si="8"/>
        <v>2.0289498164098236</v>
      </c>
      <c r="AA53" s="98">
        <f t="shared" si="8"/>
        <v>1.8895697855434095</v>
      </c>
      <c r="AB53" s="98">
        <f t="shared" si="8"/>
        <v>1.8355820773850264</v>
      </c>
      <c r="AC53" s="98">
        <f t="shared" si="8"/>
        <v>2.1531377767726361</v>
      </c>
      <c r="AD53" s="98">
        <f t="shared" si="8"/>
        <v>2.0052265729769507</v>
      </c>
      <c r="AE53" s="98">
        <f t="shared" si="8"/>
        <v>2.14272782369537</v>
      </c>
      <c r="AF53" s="98">
        <f t="shared" si="8"/>
        <v>2.1855823801692775</v>
      </c>
      <c r="AG53" s="98">
        <f t="shared" si="8"/>
        <v>2.2343606051085101</v>
      </c>
      <c r="AH53" s="98">
        <f t="shared" si="8"/>
        <v>2.4960999902783638</v>
      </c>
      <c r="AI53" s="98">
        <f t="shared" si="8"/>
        <v>2.4353253818194127</v>
      </c>
      <c r="AJ53" s="98">
        <f t="shared" si="8"/>
        <v>2.3711213490259917</v>
      </c>
      <c r="AK53" s="98">
        <f t="shared" si="8"/>
        <v>2.5337125272449175</v>
      </c>
      <c r="AL53" s="98">
        <f t="shared" si="8"/>
        <v>2.5843867777898155</v>
      </c>
      <c r="AM53" s="98">
        <f t="shared" si="8"/>
        <v>2.636074513345612</v>
      </c>
      <c r="AN53" s="98">
        <f t="shared" si="8"/>
        <v>2.4443600032841131</v>
      </c>
      <c r="AO53" s="98">
        <f t="shared" si="8"/>
        <v>2.8672342838522646</v>
      </c>
    </row>
    <row r="54" spans="1:41" x14ac:dyDescent="0.3">
      <c r="A54" s="31" t="s">
        <v>13</v>
      </c>
      <c r="F54" s="98">
        <f t="shared" ref="F54:AO54" si="9">F27*F$15*F$10/DEN</f>
        <v>0</v>
      </c>
      <c r="G54" s="98">
        <f t="shared" si="9"/>
        <v>0</v>
      </c>
      <c r="H54" s="98">
        <f t="shared" si="9"/>
        <v>0</v>
      </c>
      <c r="I54" s="98">
        <f t="shared" si="9"/>
        <v>0.92</v>
      </c>
      <c r="J54" s="98">
        <f t="shared" si="9"/>
        <v>0.8567999999999999</v>
      </c>
      <c r="K54" s="98">
        <f t="shared" si="9"/>
        <v>0.91555200000000014</v>
      </c>
      <c r="L54" s="98">
        <f t="shared" si="9"/>
        <v>0.93386304000000009</v>
      </c>
      <c r="M54" s="98">
        <f t="shared" si="9"/>
        <v>0.9092430144000001</v>
      </c>
      <c r="N54" s="98">
        <f t="shared" si="9"/>
        <v>1.015754338944</v>
      </c>
      <c r="O54" s="98">
        <f t="shared" si="9"/>
        <v>0.9459764321817602</v>
      </c>
      <c r="P54" s="98">
        <f t="shared" si="9"/>
        <v>0.91894853411942401</v>
      </c>
      <c r="Q54" s="98">
        <f t="shared" si="9"/>
        <v>1.0779266305220845</v>
      </c>
      <c r="R54" s="98">
        <f t="shared" si="9"/>
        <v>1.0516814603876337</v>
      </c>
      <c r="S54" s="98">
        <f t="shared" si="9"/>
        <v>1.023955312795596</v>
      </c>
      <c r="T54" s="98">
        <f t="shared" si="9"/>
        <v>1.0941693913872941</v>
      </c>
      <c r="U54" s="98">
        <f t="shared" si="9"/>
        <v>1.1718554181757921</v>
      </c>
      <c r="V54" s="98">
        <f t="shared" si="9"/>
        <v>1.1952925265393077</v>
      </c>
      <c r="W54" s="98">
        <f t="shared" si="9"/>
        <v>1.219198377070094</v>
      </c>
      <c r="X54" s="98">
        <f t="shared" si="9"/>
        <v>1.1870558744018824</v>
      </c>
      <c r="Y54" s="98">
        <f t="shared" si="9"/>
        <v>1.2684539915037258</v>
      </c>
      <c r="Z54" s="98">
        <f t="shared" si="9"/>
        <v>1.3526332109398822</v>
      </c>
      <c r="AA54" s="98">
        <f t="shared" si="9"/>
        <v>1.2597131903622729</v>
      </c>
      <c r="AB54" s="98">
        <f t="shared" si="9"/>
        <v>1.2237213849233508</v>
      </c>
      <c r="AC54" s="98">
        <f t="shared" si="9"/>
        <v>1.4354251845150903</v>
      </c>
      <c r="AD54" s="98">
        <f t="shared" si="9"/>
        <v>1.336817715317967</v>
      </c>
      <c r="AE54" s="98">
        <f t="shared" si="9"/>
        <v>1.4284852157969132</v>
      </c>
      <c r="AF54" s="98">
        <f t="shared" si="9"/>
        <v>1.4570549201128515</v>
      </c>
      <c r="AG54" s="98">
        <f t="shared" si="9"/>
        <v>1.4895737367390067</v>
      </c>
      <c r="AH54" s="98">
        <f t="shared" si="9"/>
        <v>1.6640666601855758</v>
      </c>
      <c r="AI54" s="98">
        <f t="shared" si="9"/>
        <v>1.6235502545462752</v>
      </c>
      <c r="AJ54" s="98">
        <f t="shared" si="9"/>
        <v>1.580747566017328</v>
      </c>
      <c r="AK54" s="98">
        <f t="shared" si="9"/>
        <v>1.6891416848299448</v>
      </c>
      <c r="AL54" s="98">
        <f t="shared" si="9"/>
        <v>1.7229245185265436</v>
      </c>
      <c r="AM54" s="98">
        <f t="shared" si="9"/>
        <v>1.7573830088970745</v>
      </c>
      <c r="AN54" s="98">
        <f t="shared" si="9"/>
        <v>1.6295733355227418</v>
      </c>
      <c r="AO54" s="98">
        <f t="shared" si="9"/>
        <v>1.9114895225681767</v>
      </c>
    </row>
    <row r="55" spans="1:41" x14ac:dyDescent="0.3">
      <c r="A55" s="31" t="s">
        <v>14</v>
      </c>
      <c r="F55" s="98">
        <f t="shared" ref="F55:AO55" si="10">F28*F$15*F$10/DEN</f>
        <v>0</v>
      </c>
      <c r="G55" s="98">
        <f t="shared" si="10"/>
        <v>0</v>
      </c>
      <c r="H55" s="98">
        <f t="shared" si="10"/>
        <v>0</v>
      </c>
      <c r="I55" s="98">
        <f t="shared" si="10"/>
        <v>4.5999999999999996</v>
      </c>
      <c r="J55" s="98">
        <f t="shared" si="10"/>
        <v>4.2839999999999998</v>
      </c>
      <c r="K55" s="98">
        <f t="shared" si="10"/>
        <v>4.5777599999999996</v>
      </c>
      <c r="L55" s="98">
        <f t="shared" si="10"/>
        <v>4.6693151999999998</v>
      </c>
      <c r="M55" s="98">
        <f t="shared" si="10"/>
        <v>4.5462150720000007</v>
      </c>
      <c r="N55" s="98">
        <f t="shared" si="10"/>
        <v>5.0787716947200003</v>
      </c>
      <c r="O55" s="98">
        <f t="shared" si="10"/>
        <v>4.7298821609088009</v>
      </c>
      <c r="P55" s="98">
        <f t="shared" si="10"/>
        <v>4.5947426705971202</v>
      </c>
      <c r="Q55" s="98">
        <f t="shared" si="10"/>
        <v>5.389633152610422</v>
      </c>
      <c r="R55" s="98">
        <f t="shared" si="10"/>
        <v>5.2584073019381679</v>
      </c>
      <c r="S55" s="98">
        <f t="shared" si="10"/>
        <v>5.1197765639779798</v>
      </c>
      <c r="T55" s="98">
        <f t="shared" si="10"/>
        <v>5.4708469569364704</v>
      </c>
      <c r="U55" s="98">
        <f t="shared" si="10"/>
        <v>5.8592770908789609</v>
      </c>
      <c r="V55" s="98">
        <f t="shared" si="10"/>
        <v>5.9764626326965393</v>
      </c>
      <c r="W55" s="98">
        <f t="shared" si="10"/>
        <v>6.09599188535047</v>
      </c>
      <c r="X55" s="98">
        <f t="shared" si="10"/>
        <v>5.935279372009413</v>
      </c>
      <c r="Y55" s="98">
        <f t="shared" si="10"/>
        <v>6.3422699575186288</v>
      </c>
      <c r="Z55" s="98">
        <f t="shared" si="10"/>
        <v>6.7631660546994112</v>
      </c>
      <c r="AA55" s="98">
        <f t="shared" si="10"/>
        <v>6.2985659518113648</v>
      </c>
      <c r="AB55" s="98">
        <f t="shared" si="10"/>
        <v>6.1186069246167536</v>
      </c>
      <c r="AC55" s="98">
        <f t="shared" si="10"/>
        <v>7.1771259225754536</v>
      </c>
      <c r="AD55" s="98">
        <f t="shared" si="10"/>
        <v>6.6840885765898346</v>
      </c>
      <c r="AE55" s="98">
        <f t="shared" si="10"/>
        <v>7.1424260789845659</v>
      </c>
      <c r="AF55" s="98">
        <f t="shared" si="10"/>
        <v>7.2852746005642581</v>
      </c>
      <c r="AG55" s="98">
        <f t="shared" si="10"/>
        <v>7.4478686836950345</v>
      </c>
      <c r="AH55" s="98">
        <f t="shared" si="10"/>
        <v>8.3203333009278797</v>
      </c>
      <c r="AI55" s="98">
        <f t="shared" si="10"/>
        <v>8.1177512727313772</v>
      </c>
      <c r="AJ55" s="98">
        <f t="shared" si="10"/>
        <v>7.9037378300866399</v>
      </c>
      <c r="AK55" s="98">
        <f t="shared" si="10"/>
        <v>8.4457084241497249</v>
      </c>
      <c r="AL55" s="98">
        <f t="shared" si="10"/>
        <v>8.6146225926327187</v>
      </c>
      <c r="AM55" s="98">
        <f t="shared" si="10"/>
        <v>8.7869150444853723</v>
      </c>
      <c r="AN55" s="98">
        <f t="shared" si="10"/>
        <v>8.1478666776137096</v>
      </c>
      <c r="AO55" s="98">
        <f t="shared" si="10"/>
        <v>9.5574476128408818</v>
      </c>
    </row>
    <row r="56" spans="1:41" s="120" customFormat="1" x14ac:dyDescent="0.3">
      <c r="A56" s="110" t="s">
        <v>114</v>
      </c>
      <c r="B56" s="119"/>
      <c r="C56" s="119"/>
      <c r="D56" s="119"/>
      <c r="E56" s="119"/>
      <c r="F56" s="109">
        <f>SUM(F53:F55)</f>
        <v>0</v>
      </c>
      <c r="G56" s="109">
        <f t="shared" ref="G56:AO56" si="11">SUM(G53:G55)</f>
        <v>0</v>
      </c>
      <c r="H56" s="109">
        <f t="shared" si="11"/>
        <v>0</v>
      </c>
      <c r="I56" s="109">
        <f t="shared" si="11"/>
        <v>6.8999999999999995</v>
      </c>
      <c r="J56" s="109">
        <f t="shared" si="11"/>
        <v>6.4260000000000002</v>
      </c>
      <c r="K56" s="109">
        <f t="shared" si="11"/>
        <v>6.8666399999999994</v>
      </c>
      <c r="L56" s="109">
        <f t="shared" si="11"/>
        <v>7.0039727999999997</v>
      </c>
      <c r="M56" s="109">
        <f t="shared" si="11"/>
        <v>6.8193226080000011</v>
      </c>
      <c r="N56" s="109">
        <f t="shared" si="11"/>
        <v>7.6181575420800005</v>
      </c>
      <c r="O56" s="109">
        <f t="shared" si="11"/>
        <v>7.0948232413632013</v>
      </c>
      <c r="P56" s="109">
        <f t="shared" si="11"/>
        <v>6.8921140058956798</v>
      </c>
      <c r="Q56" s="109">
        <f t="shared" si="11"/>
        <v>8.084449728915633</v>
      </c>
      <c r="R56" s="109">
        <f t="shared" si="11"/>
        <v>7.8876109529072522</v>
      </c>
      <c r="S56" s="109">
        <f t="shared" si="11"/>
        <v>7.6796648459669701</v>
      </c>
      <c r="T56" s="109">
        <f t="shared" si="11"/>
        <v>8.206270435404706</v>
      </c>
      <c r="U56" s="109">
        <f t="shared" si="11"/>
        <v>8.7889156363184409</v>
      </c>
      <c r="V56" s="109">
        <f t="shared" si="11"/>
        <v>8.9646939490448077</v>
      </c>
      <c r="W56" s="109">
        <f t="shared" si="11"/>
        <v>9.1439878280257041</v>
      </c>
      <c r="X56" s="109">
        <f t="shared" si="11"/>
        <v>8.9029190580141186</v>
      </c>
      <c r="Y56" s="109">
        <f t="shared" si="11"/>
        <v>9.5134049362779436</v>
      </c>
      <c r="Z56" s="109">
        <f t="shared" si="11"/>
        <v>10.144749082049117</v>
      </c>
      <c r="AA56" s="109">
        <f t="shared" si="11"/>
        <v>9.4478489277170468</v>
      </c>
      <c r="AB56" s="109">
        <f t="shared" si="11"/>
        <v>9.1779103869251308</v>
      </c>
      <c r="AC56" s="109">
        <f t="shared" si="11"/>
        <v>10.765688883863181</v>
      </c>
      <c r="AD56" s="109">
        <f t="shared" si="11"/>
        <v>10.026132864884753</v>
      </c>
      <c r="AE56" s="109">
        <f t="shared" si="11"/>
        <v>10.713639118476848</v>
      </c>
      <c r="AF56" s="109">
        <f t="shared" si="11"/>
        <v>10.927911900846388</v>
      </c>
      <c r="AG56" s="109">
        <f t="shared" si="11"/>
        <v>11.171803025542552</v>
      </c>
      <c r="AH56" s="109">
        <f t="shared" si="11"/>
        <v>12.48049995139182</v>
      </c>
      <c r="AI56" s="109">
        <f t="shared" si="11"/>
        <v>12.176626909097065</v>
      </c>
      <c r="AJ56" s="109">
        <f t="shared" si="11"/>
        <v>11.855606745129959</v>
      </c>
      <c r="AK56" s="109">
        <f t="shared" si="11"/>
        <v>12.668562636224587</v>
      </c>
      <c r="AL56" s="109">
        <f t="shared" si="11"/>
        <v>12.921933888949077</v>
      </c>
      <c r="AM56" s="109">
        <f t="shared" si="11"/>
        <v>13.180372566728058</v>
      </c>
      <c r="AN56" s="109">
        <f t="shared" si="11"/>
        <v>12.221800016420564</v>
      </c>
      <c r="AO56" s="109">
        <f t="shared" si="11"/>
        <v>14.336171419261323</v>
      </c>
    </row>
    <row r="57" spans="1:41" x14ac:dyDescent="0.3">
      <c r="A57" s="105"/>
    </row>
    <row r="58" spans="1:41" x14ac:dyDescent="0.3">
      <c r="A58" s="87" t="s">
        <v>111</v>
      </c>
    </row>
    <row r="59" spans="1:41" x14ac:dyDescent="0.3">
      <c r="A59" s="31" t="s">
        <v>12</v>
      </c>
      <c r="F59" s="98">
        <f t="shared" ref="F59:AO59" si="12">F32*F$16*F$10/DEN</f>
        <v>0</v>
      </c>
      <c r="G59" s="98">
        <f t="shared" si="12"/>
        <v>0</v>
      </c>
      <c r="H59" s="98">
        <f t="shared" si="12"/>
        <v>0</v>
      </c>
      <c r="I59" s="98">
        <f t="shared" si="12"/>
        <v>2.3919999999999999</v>
      </c>
      <c r="J59" s="98">
        <f t="shared" si="12"/>
        <v>2.2276799999999999</v>
      </c>
      <c r="K59" s="98">
        <f t="shared" si="12"/>
        <v>2.3804352</v>
      </c>
      <c r="L59" s="98">
        <f t="shared" si="12"/>
        <v>2.4280439039999999</v>
      </c>
      <c r="M59" s="98">
        <f t="shared" si="12"/>
        <v>2.3640318374400002</v>
      </c>
      <c r="N59" s="98">
        <f t="shared" si="12"/>
        <v>2.6409612812544006</v>
      </c>
      <c r="O59" s="98">
        <f t="shared" si="12"/>
        <v>2.4595387236725759</v>
      </c>
      <c r="P59" s="98">
        <f t="shared" si="12"/>
        <v>2.3892661887105024</v>
      </c>
      <c r="Q59" s="98">
        <f t="shared" si="12"/>
        <v>2.8026092393574196</v>
      </c>
      <c r="R59" s="98">
        <f t="shared" si="12"/>
        <v>2.7343717970078472</v>
      </c>
      <c r="S59" s="98">
        <f t="shared" si="12"/>
        <v>2.6622838132685498</v>
      </c>
      <c r="T59" s="98">
        <f t="shared" si="12"/>
        <v>2.8448404176069646</v>
      </c>
      <c r="U59" s="98">
        <f t="shared" si="12"/>
        <v>3.0468240872570589</v>
      </c>
      <c r="V59" s="98">
        <f t="shared" si="12"/>
        <v>3.1077605690021999</v>
      </c>
      <c r="W59" s="98">
        <f t="shared" si="12"/>
        <v>3.1699157803822442</v>
      </c>
      <c r="X59" s="98">
        <f t="shared" si="12"/>
        <v>3.086345273444894</v>
      </c>
      <c r="Y59" s="98">
        <f t="shared" si="12"/>
        <v>3.2979803779096866</v>
      </c>
      <c r="Z59" s="98">
        <f t="shared" si="12"/>
        <v>3.5168463484436931</v>
      </c>
      <c r="AA59" s="98">
        <f t="shared" si="12"/>
        <v>3.275254294941909</v>
      </c>
      <c r="AB59" s="98">
        <f t="shared" si="12"/>
        <v>3.1816756008007121</v>
      </c>
      <c r="AC59" s="98">
        <f t="shared" si="12"/>
        <v>3.7321054797392352</v>
      </c>
      <c r="AD59" s="98">
        <f t="shared" si="12"/>
        <v>3.4757260598267141</v>
      </c>
      <c r="AE59" s="98">
        <f t="shared" si="12"/>
        <v>3.7140615610719738</v>
      </c>
      <c r="AF59" s="98">
        <f t="shared" si="12"/>
        <v>3.7883427922934141</v>
      </c>
      <c r="AG59" s="98">
        <f t="shared" si="12"/>
        <v>3.8728917155214164</v>
      </c>
      <c r="AH59" s="98">
        <f t="shared" si="12"/>
        <v>4.3265733164824969</v>
      </c>
      <c r="AI59" s="98">
        <f t="shared" si="12"/>
        <v>4.2212306618203144</v>
      </c>
      <c r="AJ59" s="98">
        <f t="shared" si="12"/>
        <v>4.1099436716450519</v>
      </c>
      <c r="AK59" s="98">
        <f t="shared" si="12"/>
        <v>4.3917683805578545</v>
      </c>
      <c r="AL59" s="98">
        <f t="shared" si="12"/>
        <v>4.479603748169013</v>
      </c>
      <c r="AM59" s="98">
        <f t="shared" si="12"/>
        <v>4.569195823132393</v>
      </c>
      <c r="AN59" s="98">
        <f t="shared" si="12"/>
        <v>4.2368906723591282</v>
      </c>
      <c r="AO59" s="98">
        <f t="shared" si="12"/>
        <v>4.9698727586772566</v>
      </c>
    </row>
    <row r="60" spans="1:41" x14ac:dyDescent="0.3">
      <c r="A60" s="31" t="s">
        <v>13</v>
      </c>
      <c r="F60" s="98">
        <f t="shared" ref="F60:AO60" si="13">F33*F$16*F$10/DEN</f>
        <v>0</v>
      </c>
      <c r="G60" s="98">
        <f t="shared" si="13"/>
        <v>0</v>
      </c>
      <c r="H60" s="98">
        <f t="shared" si="13"/>
        <v>0</v>
      </c>
      <c r="I60" s="98">
        <f t="shared" si="13"/>
        <v>1.196</v>
      </c>
      <c r="J60" s="98">
        <f t="shared" si="13"/>
        <v>1.1138399999999999</v>
      </c>
      <c r="K60" s="98">
        <f t="shared" si="13"/>
        <v>1.1902176</v>
      </c>
      <c r="L60" s="98">
        <f t="shared" si="13"/>
        <v>1.214021952</v>
      </c>
      <c r="M60" s="98">
        <f t="shared" si="13"/>
        <v>1.1820159187200001</v>
      </c>
      <c r="N60" s="98">
        <f t="shared" si="13"/>
        <v>1.3204806406272003</v>
      </c>
      <c r="O60" s="98">
        <f t="shared" si="13"/>
        <v>1.2297693618362879</v>
      </c>
      <c r="P60" s="98">
        <f t="shared" si="13"/>
        <v>1.1946330943552512</v>
      </c>
      <c r="Q60" s="98">
        <f t="shared" si="13"/>
        <v>1.4013046196787098</v>
      </c>
      <c r="R60" s="98">
        <f t="shared" si="13"/>
        <v>1.3671858985039236</v>
      </c>
      <c r="S60" s="98">
        <f t="shared" si="13"/>
        <v>1.3311419066342749</v>
      </c>
      <c r="T60" s="98">
        <f t="shared" si="13"/>
        <v>1.4224202088034823</v>
      </c>
      <c r="U60" s="98">
        <f t="shared" si="13"/>
        <v>1.5234120436285294</v>
      </c>
      <c r="V60" s="98">
        <f t="shared" si="13"/>
        <v>1.5538802845010999</v>
      </c>
      <c r="W60" s="98">
        <f t="shared" si="13"/>
        <v>1.5849578901911221</v>
      </c>
      <c r="X60" s="98">
        <f t="shared" si="13"/>
        <v>1.543172636722447</v>
      </c>
      <c r="Y60" s="98">
        <f t="shared" si="13"/>
        <v>1.6489901889548433</v>
      </c>
      <c r="Z60" s="98">
        <f t="shared" si="13"/>
        <v>1.7584231742218466</v>
      </c>
      <c r="AA60" s="98">
        <f t="shared" si="13"/>
        <v>1.6376271474709545</v>
      </c>
      <c r="AB60" s="98">
        <f t="shared" si="13"/>
        <v>1.5908378004003561</v>
      </c>
      <c r="AC60" s="98">
        <f t="shared" si="13"/>
        <v>1.8660527398696176</v>
      </c>
      <c r="AD60" s="98">
        <f t="shared" si="13"/>
        <v>1.7378630299133571</v>
      </c>
      <c r="AE60" s="98">
        <f t="shared" si="13"/>
        <v>1.8570307805359869</v>
      </c>
      <c r="AF60" s="98">
        <f t="shared" si="13"/>
        <v>1.894171396146707</v>
      </c>
      <c r="AG60" s="98">
        <f t="shared" si="13"/>
        <v>1.9364458577607082</v>
      </c>
      <c r="AH60" s="98">
        <f t="shared" si="13"/>
        <v>2.1632866582412484</v>
      </c>
      <c r="AI60" s="98">
        <f t="shared" si="13"/>
        <v>2.1106153309101572</v>
      </c>
      <c r="AJ60" s="98">
        <f t="shared" si="13"/>
        <v>2.054971835822526</v>
      </c>
      <c r="AK60" s="98">
        <f t="shared" si="13"/>
        <v>2.1958841902789272</v>
      </c>
      <c r="AL60" s="98">
        <f t="shared" si="13"/>
        <v>2.2398018740845065</v>
      </c>
      <c r="AM60" s="98">
        <f t="shared" si="13"/>
        <v>2.2845979115661965</v>
      </c>
      <c r="AN60" s="98">
        <f t="shared" si="13"/>
        <v>2.1184453361795641</v>
      </c>
      <c r="AO60" s="98">
        <f t="shared" si="13"/>
        <v>2.4849363793386283</v>
      </c>
    </row>
    <row r="61" spans="1:41" x14ac:dyDescent="0.3">
      <c r="A61" s="31" t="s">
        <v>14</v>
      </c>
      <c r="F61" s="98">
        <f t="shared" ref="F61:AO61" si="14">F34*F$16*F$10/DEN</f>
        <v>0</v>
      </c>
      <c r="G61" s="98">
        <f t="shared" si="14"/>
        <v>0</v>
      </c>
      <c r="H61" s="98">
        <f t="shared" si="14"/>
        <v>0</v>
      </c>
      <c r="I61" s="98">
        <f t="shared" si="14"/>
        <v>5.98</v>
      </c>
      <c r="J61" s="98">
        <f t="shared" si="14"/>
        <v>5.5692000000000004</v>
      </c>
      <c r="K61" s="98">
        <f t="shared" si="14"/>
        <v>5.9510880000000004</v>
      </c>
      <c r="L61" s="98">
        <f t="shared" si="14"/>
        <v>6.0701097600000002</v>
      </c>
      <c r="M61" s="98">
        <f t="shared" si="14"/>
        <v>5.9100795935999999</v>
      </c>
      <c r="N61" s="98">
        <f t="shared" si="14"/>
        <v>6.6024032031360003</v>
      </c>
      <c r="O61" s="98">
        <f t="shared" si="14"/>
        <v>6.1488468091814399</v>
      </c>
      <c r="P61" s="98">
        <f t="shared" si="14"/>
        <v>5.9731654717762561</v>
      </c>
      <c r="Q61" s="98">
        <f t="shared" si="14"/>
        <v>7.006523098393548</v>
      </c>
      <c r="R61" s="98">
        <f t="shared" si="14"/>
        <v>6.835929492519619</v>
      </c>
      <c r="S61" s="98">
        <f t="shared" si="14"/>
        <v>6.6557095331713745</v>
      </c>
      <c r="T61" s="98">
        <f t="shared" si="14"/>
        <v>7.1121010440174102</v>
      </c>
      <c r="U61" s="98">
        <f t="shared" si="14"/>
        <v>7.6170602181426474</v>
      </c>
      <c r="V61" s="98">
        <f t="shared" si="14"/>
        <v>7.7694014225055001</v>
      </c>
      <c r="W61" s="98">
        <f t="shared" si="14"/>
        <v>7.9247894509556112</v>
      </c>
      <c r="X61" s="98">
        <f t="shared" si="14"/>
        <v>7.7158631836122353</v>
      </c>
      <c r="Y61" s="98">
        <f t="shared" si="14"/>
        <v>8.2449509447742155</v>
      </c>
      <c r="Z61" s="98">
        <f t="shared" si="14"/>
        <v>8.7921158711092318</v>
      </c>
      <c r="AA61" s="98">
        <f t="shared" si="14"/>
        <v>8.1881357373547718</v>
      </c>
      <c r="AB61" s="98">
        <f t="shared" si="14"/>
        <v>7.9541890020017805</v>
      </c>
      <c r="AC61" s="98">
        <f t="shared" si="14"/>
        <v>9.3302636993480874</v>
      </c>
      <c r="AD61" s="98">
        <f t="shared" si="14"/>
        <v>8.6893151495667844</v>
      </c>
      <c r="AE61" s="98">
        <f t="shared" si="14"/>
        <v>9.2851539026799355</v>
      </c>
      <c r="AF61" s="98">
        <f t="shared" si="14"/>
        <v>9.470856980733533</v>
      </c>
      <c r="AG61" s="98">
        <f t="shared" si="14"/>
        <v>9.6822292888035424</v>
      </c>
      <c r="AH61" s="98">
        <f t="shared" si="14"/>
        <v>10.816433291206243</v>
      </c>
      <c r="AI61" s="98">
        <f t="shared" si="14"/>
        <v>10.553076654550788</v>
      </c>
      <c r="AJ61" s="98">
        <f t="shared" si="14"/>
        <v>10.274859179112628</v>
      </c>
      <c r="AK61" s="98">
        <f t="shared" si="14"/>
        <v>10.979420951394639</v>
      </c>
      <c r="AL61" s="98">
        <f t="shared" si="14"/>
        <v>11.19900937042253</v>
      </c>
      <c r="AM61" s="98">
        <f t="shared" si="14"/>
        <v>11.422989557830983</v>
      </c>
      <c r="AN61" s="98">
        <f t="shared" si="14"/>
        <v>10.592226680897818</v>
      </c>
      <c r="AO61" s="98">
        <f t="shared" si="14"/>
        <v>12.424681896693141</v>
      </c>
    </row>
    <row r="62" spans="1:41" s="120" customFormat="1" x14ac:dyDescent="0.3">
      <c r="A62" s="106" t="s">
        <v>114</v>
      </c>
      <c r="B62" s="119"/>
      <c r="C62" s="119"/>
      <c r="D62" s="119"/>
      <c r="E62" s="119"/>
      <c r="F62" s="109">
        <f>SUM(F59:F61)</f>
        <v>0</v>
      </c>
      <c r="G62" s="109">
        <f t="shared" ref="G62:AO62" si="15">SUM(G59:G61)</f>
        <v>0</v>
      </c>
      <c r="H62" s="109">
        <f t="shared" si="15"/>
        <v>0</v>
      </c>
      <c r="I62" s="109">
        <f t="shared" si="15"/>
        <v>9.5680000000000014</v>
      </c>
      <c r="J62" s="109">
        <f t="shared" si="15"/>
        <v>8.9107200000000013</v>
      </c>
      <c r="K62" s="109">
        <f t="shared" si="15"/>
        <v>9.5217407999999999</v>
      </c>
      <c r="L62" s="109">
        <f t="shared" si="15"/>
        <v>9.7121756159999997</v>
      </c>
      <c r="M62" s="109">
        <f t="shared" si="15"/>
        <v>9.4561273497599991</v>
      </c>
      <c r="N62" s="109">
        <f t="shared" si="15"/>
        <v>10.5638451250176</v>
      </c>
      <c r="O62" s="109">
        <f t="shared" si="15"/>
        <v>9.8381548946903035</v>
      </c>
      <c r="P62" s="109">
        <f t="shared" si="15"/>
        <v>9.5570647548420098</v>
      </c>
      <c r="Q62" s="109">
        <f t="shared" si="15"/>
        <v>11.210436957429678</v>
      </c>
      <c r="R62" s="109">
        <f t="shared" si="15"/>
        <v>10.93748718803139</v>
      </c>
      <c r="S62" s="109">
        <f t="shared" si="15"/>
        <v>10.649135253074199</v>
      </c>
      <c r="T62" s="109">
        <f t="shared" si="15"/>
        <v>11.379361670427858</v>
      </c>
      <c r="U62" s="109">
        <f t="shared" si="15"/>
        <v>12.187296349028236</v>
      </c>
      <c r="V62" s="109">
        <f t="shared" si="15"/>
        <v>12.4310422760088</v>
      </c>
      <c r="W62" s="109">
        <f t="shared" si="15"/>
        <v>12.679663121528979</v>
      </c>
      <c r="X62" s="109">
        <f t="shared" si="15"/>
        <v>12.345381093779576</v>
      </c>
      <c r="Y62" s="109">
        <f t="shared" si="15"/>
        <v>13.191921511638746</v>
      </c>
      <c r="Z62" s="109">
        <f t="shared" si="15"/>
        <v>14.067385393774771</v>
      </c>
      <c r="AA62" s="109">
        <f t="shared" si="15"/>
        <v>13.101017179767634</v>
      </c>
      <c r="AB62" s="109">
        <f t="shared" si="15"/>
        <v>12.726702403202848</v>
      </c>
      <c r="AC62" s="109">
        <f t="shared" si="15"/>
        <v>14.928421918956939</v>
      </c>
      <c r="AD62" s="109">
        <f t="shared" si="15"/>
        <v>13.902904239306856</v>
      </c>
      <c r="AE62" s="109">
        <f t="shared" si="15"/>
        <v>14.856246244287895</v>
      </c>
      <c r="AF62" s="109">
        <f t="shared" si="15"/>
        <v>15.153371169173655</v>
      </c>
      <c r="AG62" s="109">
        <f t="shared" si="15"/>
        <v>15.491566862085667</v>
      </c>
      <c r="AH62" s="109">
        <f t="shared" si="15"/>
        <v>17.306293265929988</v>
      </c>
      <c r="AI62" s="109">
        <f t="shared" si="15"/>
        <v>16.884922647281257</v>
      </c>
      <c r="AJ62" s="109">
        <f t="shared" si="15"/>
        <v>16.439774686580208</v>
      </c>
      <c r="AK62" s="109">
        <f t="shared" si="15"/>
        <v>17.567073522231421</v>
      </c>
      <c r="AL62" s="109">
        <f t="shared" si="15"/>
        <v>17.918414992676048</v>
      </c>
      <c r="AM62" s="109">
        <f t="shared" si="15"/>
        <v>18.276783292529572</v>
      </c>
      <c r="AN62" s="109">
        <f t="shared" si="15"/>
        <v>16.947562689436509</v>
      </c>
      <c r="AO62" s="109">
        <f t="shared" si="15"/>
        <v>19.879491034709027</v>
      </c>
    </row>
    <row r="64" spans="1:41" x14ac:dyDescent="0.3">
      <c r="A64" s="115" t="s">
        <v>112</v>
      </c>
    </row>
    <row r="65" spans="1:41" x14ac:dyDescent="0.3">
      <c r="A65" s="87" t="s">
        <v>110</v>
      </c>
    </row>
    <row r="66" spans="1:41" x14ac:dyDescent="0.3">
      <c r="A66" s="31" t="s">
        <v>12</v>
      </c>
      <c r="F66" s="98">
        <f t="shared" ref="F66:AO66" si="16">F39*F$20*F$11/DEN</f>
        <v>0</v>
      </c>
      <c r="G66" s="98">
        <f t="shared" si="16"/>
        <v>0</v>
      </c>
      <c r="H66" s="98">
        <f t="shared" si="16"/>
        <v>0</v>
      </c>
      <c r="I66" s="98">
        <f t="shared" si="16"/>
        <v>1.04</v>
      </c>
      <c r="J66" s="98">
        <f t="shared" si="16"/>
        <v>1.3520000000000001</v>
      </c>
      <c r="K66" s="98">
        <f t="shared" si="16"/>
        <v>1.1248640000000001</v>
      </c>
      <c r="L66" s="98">
        <f t="shared" si="16"/>
        <v>1.3160908800000002</v>
      </c>
      <c r="M66" s="98">
        <f t="shared" si="16"/>
        <v>1.3687345152000003</v>
      </c>
      <c r="N66" s="98">
        <f t="shared" si="16"/>
        <v>1.2653190184960001</v>
      </c>
      <c r="O66" s="98">
        <f t="shared" si="16"/>
        <v>1.6449147240448003</v>
      </c>
      <c r="P66" s="98">
        <f t="shared" si="16"/>
        <v>1.3685690504052737</v>
      </c>
      <c r="Q66" s="98">
        <f t="shared" si="16"/>
        <v>1.4233118124214847</v>
      </c>
      <c r="R66" s="98">
        <f t="shared" si="16"/>
        <v>1.4802442849183444</v>
      </c>
      <c r="S66" s="98">
        <f t="shared" si="16"/>
        <v>1.924317570393848</v>
      </c>
      <c r="T66" s="98">
        <f t="shared" si="16"/>
        <v>1.6010322185676815</v>
      </c>
      <c r="U66" s="98">
        <f t="shared" si="16"/>
        <v>1.9668680805103966</v>
      </c>
      <c r="V66" s="98">
        <f t="shared" si="16"/>
        <v>2.0455428037308128</v>
      </c>
      <c r="W66" s="98">
        <f t="shared" si="16"/>
        <v>1.8909906807822627</v>
      </c>
      <c r="X66" s="98">
        <f t="shared" si="16"/>
        <v>2.4582878850169414</v>
      </c>
      <c r="Y66" s="98">
        <f t="shared" si="16"/>
        <v>2.0452955203340957</v>
      </c>
      <c r="Z66" s="98">
        <f t="shared" si="16"/>
        <v>2.1271073411474597</v>
      </c>
      <c r="AA66" s="98">
        <f t="shared" si="16"/>
        <v>2.7652395434916972</v>
      </c>
      <c r="AB66" s="98">
        <f t="shared" si="16"/>
        <v>2.300679300185092</v>
      </c>
      <c r="AC66" s="98">
        <f t="shared" si="16"/>
        <v>2.3927064721924962</v>
      </c>
      <c r="AD66" s="98">
        <f t="shared" si="16"/>
        <v>2.7994665724652203</v>
      </c>
      <c r="AE66" s="98">
        <f t="shared" si="16"/>
        <v>2.9114452353638289</v>
      </c>
      <c r="AF66" s="98">
        <f t="shared" si="16"/>
        <v>2.6914693731363402</v>
      </c>
      <c r="AG66" s="98">
        <f t="shared" si="16"/>
        <v>3.6738556943311051</v>
      </c>
      <c r="AH66" s="98">
        <f t="shared" si="16"/>
        <v>3.0566479376834792</v>
      </c>
      <c r="AI66" s="98">
        <f t="shared" si="16"/>
        <v>3.1789138551908183</v>
      </c>
      <c r="AJ66" s="98">
        <f t="shared" si="16"/>
        <v>4.132588011748064</v>
      </c>
      <c r="AK66" s="98">
        <f t="shared" si="16"/>
        <v>3.4383132257743894</v>
      </c>
      <c r="AL66" s="98">
        <f t="shared" si="16"/>
        <v>3.9689999999999999</v>
      </c>
      <c r="AM66" s="98">
        <f t="shared" si="16"/>
        <v>3.9689999999999999</v>
      </c>
      <c r="AN66" s="98">
        <f t="shared" si="16"/>
        <v>3.528</v>
      </c>
      <c r="AO66" s="98">
        <f t="shared" si="16"/>
        <v>3.528</v>
      </c>
    </row>
    <row r="67" spans="1:41" x14ac:dyDescent="0.3">
      <c r="A67" s="31" t="s">
        <v>13</v>
      </c>
      <c r="F67" s="98">
        <f t="shared" ref="F67:AO67" si="17">F40*F$20*F$11/DEN</f>
        <v>0</v>
      </c>
      <c r="G67" s="98">
        <f t="shared" si="17"/>
        <v>0</v>
      </c>
      <c r="H67" s="98">
        <f t="shared" si="17"/>
        <v>0</v>
      </c>
      <c r="I67" s="98">
        <f t="shared" si="17"/>
        <v>0.41599999999999998</v>
      </c>
      <c r="J67" s="98">
        <f t="shared" si="17"/>
        <v>0.54079999999999995</v>
      </c>
      <c r="K67" s="98">
        <f t="shared" si="17"/>
        <v>0.4499456</v>
      </c>
      <c r="L67" s="98">
        <f t="shared" si="17"/>
        <v>0.52643635200000016</v>
      </c>
      <c r="M67" s="98">
        <f t="shared" si="17"/>
        <v>0.54749380608000009</v>
      </c>
      <c r="N67" s="98">
        <f t="shared" si="17"/>
        <v>0.50612760739840001</v>
      </c>
      <c r="O67" s="98">
        <f t="shared" si="17"/>
        <v>0.65796588961792013</v>
      </c>
      <c r="P67" s="98">
        <f t="shared" si="17"/>
        <v>0.54742762016210955</v>
      </c>
      <c r="Q67" s="98">
        <f t="shared" si="17"/>
        <v>0.56932472496859399</v>
      </c>
      <c r="R67" s="98">
        <f t="shared" si="17"/>
        <v>0.59209771396733779</v>
      </c>
      <c r="S67" s="98">
        <f t="shared" si="17"/>
        <v>0.76972702815753913</v>
      </c>
      <c r="T67" s="98">
        <f t="shared" si="17"/>
        <v>0.64041288742707259</v>
      </c>
      <c r="U67" s="98">
        <f t="shared" si="17"/>
        <v>0.78674723220415876</v>
      </c>
      <c r="V67" s="98">
        <f t="shared" si="17"/>
        <v>0.81821712149232506</v>
      </c>
      <c r="W67" s="98">
        <f t="shared" si="17"/>
        <v>0.75639627231290507</v>
      </c>
      <c r="X67" s="98">
        <f t="shared" si="17"/>
        <v>0.98331515400677671</v>
      </c>
      <c r="Y67" s="98">
        <f t="shared" si="17"/>
        <v>0.81811820813363823</v>
      </c>
      <c r="Z67" s="98">
        <f t="shared" si="17"/>
        <v>0.85084293645898379</v>
      </c>
      <c r="AA67" s="98">
        <f t="shared" si="17"/>
        <v>1.1060958173966791</v>
      </c>
      <c r="AB67" s="98">
        <f t="shared" si="17"/>
        <v>0.9202717200740369</v>
      </c>
      <c r="AC67" s="98">
        <f t="shared" si="17"/>
        <v>0.95708258887699837</v>
      </c>
      <c r="AD67" s="98">
        <f t="shared" si="17"/>
        <v>1.1197866289860881</v>
      </c>
      <c r="AE67" s="98">
        <f t="shared" si="17"/>
        <v>1.1645780941455317</v>
      </c>
      <c r="AF67" s="98">
        <f t="shared" si="17"/>
        <v>1.0765877492545362</v>
      </c>
      <c r="AG67" s="98">
        <f t="shared" si="17"/>
        <v>1.4695422777324421</v>
      </c>
      <c r="AH67" s="98">
        <f t="shared" si="17"/>
        <v>1.2226591750733917</v>
      </c>
      <c r="AI67" s="98">
        <f t="shared" si="17"/>
        <v>1.2715655420763274</v>
      </c>
      <c r="AJ67" s="98">
        <f t="shared" si="17"/>
        <v>1.6530352046992258</v>
      </c>
      <c r="AK67" s="98">
        <f t="shared" si="17"/>
        <v>1.3753252903097559</v>
      </c>
      <c r="AL67" s="98">
        <f t="shared" si="17"/>
        <v>1.5875999999999999</v>
      </c>
      <c r="AM67" s="98">
        <f t="shared" si="17"/>
        <v>1.5875999999999999</v>
      </c>
      <c r="AN67" s="98">
        <f t="shared" si="17"/>
        <v>1.4112</v>
      </c>
      <c r="AO67" s="98">
        <f t="shared" si="17"/>
        <v>1.4112</v>
      </c>
    </row>
    <row r="68" spans="1:41" x14ac:dyDescent="0.3">
      <c r="A68" s="31" t="s">
        <v>14</v>
      </c>
      <c r="F68" s="98">
        <f t="shared" ref="F68:AO68" si="18">F41*F$20*F$11/DEN</f>
        <v>0</v>
      </c>
      <c r="G68" s="98">
        <f t="shared" si="18"/>
        <v>0</v>
      </c>
      <c r="H68" s="98">
        <f t="shared" si="18"/>
        <v>0</v>
      </c>
      <c r="I68" s="98">
        <f t="shared" si="18"/>
        <v>2.08</v>
      </c>
      <c r="J68" s="98">
        <f t="shared" si="18"/>
        <v>2.7040000000000002</v>
      </c>
      <c r="K68" s="98">
        <f t="shared" si="18"/>
        <v>2.2497280000000002</v>
      </c>
      <c r="L68" s="98">
        <f t="shared" si="18"/>
        <v>2.6321817600000004</v>
      </c>
      <c r="M68" s="98">
        <f t="shared" si="18"/>
        <v>2.7374690304000007</v>
      </c>
      <c r="N68" s="98">
        <f t="shared" si="18"/>
        <v>2.5306380369920003</v>
      </c>
      <c r="O68" s="98">
        <f t="shared" si="18"/>
        <v>3.2898294480896006</v>
      </c>
      <c r="P68" s="98">
        <f t="shared" si="18"/>
        <v>2.7371381008105473</v>
      </c>
      <c r="Q68" s="98">
        <f t="shared" si="18"/>
        <v>2.8466236248429695</v>
      </c>
      <c r="R68" s="98">
        <f t="shared" si="18"/>
        <v>2.9604885698366887</v>
      </c>
      <c r="S68" s="98">
        <f t="shared" si="18"/>
        <v>3.848635140787696</v>
      </c>
      <c r="T68" s="98">
        <f t="shared" si="18"/>
        <v>3.202064437135363</v>
      </c>
      <c r="U68" s="98">
        <f t="shared" si="18"/>
        <v>3.9337361610207933</v>
      </c>
      <c r="V68" s="98">
        <f t="shared" si="18"/>
        <v>4.0910856074616255</v>
      </c>
      <c r="W68" s="98">
        <f t="shared" si="18"/>
        <v>3.7819813615645255</v>
      </c>
      <c r="X68" s="98">
        <f t="shared" si="18"/>
        <v>4.9165757700338828</v>
      </c>
      <c r="Y68" s="98">
        <f t="shared" si="18"/>
        <v>4.0905910406681913</v>
      </c>
      <c r="Z68" s="98">
        <f t="shared" si="18"/>
        <v>4.2542146822949194</v>
      </c>
      <c r="AA68" s="98">
        <f t="shared" si="18"/>
        <v>5.5304790869833944</v>
      </c>
      <c r="AB68" s="98">
        <f t="shared" si="18"/>
        <v>4.6013586003701841</v>
      </c>
      <c r="AC68" s="98">
        <f t="shared" si="18"/>
        <v>4.7854129443849924</v>
      </c>
      <c r="AD68" s="98">
        <f t="shared" si="18"/>
        <v>5.5989331449304407</v>
      </c>
      <c r="AE68" s="98">
        <f t="shared" si="18"/>
        <v>5.8228904707276579</v>
      </c>
      <c r="AF68" s="98">
        <f t="shared" si="18"/>
        <v>5.3829387462726803</v>
      </c>
      <c r="AG68" s="98">
        <f t="shared" si="18"/>
        <v>7.3477113886622103</v>
      </c>
      <c r="AH68" s="98">
        <f t="shared" si="18"/>
        <v>6.1132958753669584</v>
      </c>
      <c r="AI68" s="98">
        <f t="shared" si="18"/>
        <v>6.3578277103816365</v>
      </c>
      <c r="AJ68" s="98">
        <f t="shared" si="18"/>
        <v>8.265176023496128</v>
      </c>
      <c r="AK68" s="98">
        <f t="shared" si="18"/>
        <v>6.8766264515487787</v>
      </c>
      <c r="AL68" s="98">
        <f t="shared" si="18"/>
        <v>7.9379999999999997</v>
      </c>
      <c r="AM68" s="98">
        <f t="shared" si="18"/>
        <v>7.9379999999999997</v>
      </c>
      <c r="AN68" s="98">
        <f t="shared" si="18"/>
        <v>7.056</v>
      </c>
      <c r="AO68" s="98">
        <f t="shared" si="18"/>
        <v>7.056</v>
      </c>
    </row>
    <row r="69" spans="1:41" s="120" customFormat="1" x14ac:dyDescent="0.3">
      <c r="A69" s="110" t="s">
        <v>114</v>
      </c>
      <c r="B69" s="119"/>
      <c r="C69" s="119"/>
      <c r="D69" s="119"/>
      <c r="E69" s="119"/>
      <c r="F69" s="109">
        <f>SUM(F66:F68)</f>
        <v>0</v>
      </c>
      <c r="G69" s="109">
        <f t="shared" ref="G69:AO69" si="19">SUM(G66:G68)</f>
        <v>0</v>
      </c>
      <c r="H69" s="109">
        <f t="shared" si="19"/>
        <v>0</v>
      </c>
      <c r="I69" s="109">
        <f t="shared" si="19"/>
        <v>3.536</v>
      </c>
      <c r="J69" s="109">
        <f t="shared" si="19"/>
        <v>4.5968</v>
      </c>
      <c r="K69" s="109">
        <f t="shared" si="19"/>
        <v>3.8245376000000002</v>
      </c>
      <c r="L69" s="109">
        <f t="shared" si="19"/>
        <v>4.4747089920000009</v>
      </c>
      <c r="M69" s="109">
        <f t="shared" si="19"/>
        <v>4.6536973516800009</v>
      </c>
      <c r="N69" s="109">
        <f t="shared" si="19"/>
        <v>4.3020846628864007</v>
      </c>
      <c r="O69" s="109">
        <f t="shared" si="19"/>
        <v>5.5927100617523209</v>
      </c>
      <c r="P69" s="109">
        <f t="shared" si="19"/>
        <v>4.6531347713779301</v>
      </c>
      <c r="Q69" s="109">
        <f t="shared" si="19"/>
        <v>4.8392601622330478</v>
      </c>
      <c r="R69" s="109">
        <f t="shared" si="19"/>
        <v>5.0328305687223711</v>
      </c>
      <c r="S69" s="109">
        <f t="shared" si="19"/>
        <v>6.542679739339083</v>
      </c>
      <c r="T69" s="109">
        <f t="shared" si="19"/>
        <v>5.4435095431301175</v>
      </c>
      <c r="U69" s="109">
        <f t="shared" si="19"/>
        <v>6.6873514737353492</v>
      </c>
      <c r="V69" s="109">
        <f t="shared" si="19"/>
        <v>6.9548455326847636</v>
      </c>
      <c r="W69" s="109">
        <f t="shared" si="19"/>
        <v>6.4293683146596932</v>
      </c>
      <c r="X69" s="109">
        <f t="shared" si="19"/>
        <v>8.3581788090576019</v>
      </c>
      <c r="Y69" s="109">
        <f t="shared" si="19"/>
        <v>6.954004769135925</v>
      </c>
      <c r="Z69" s="109">
        <f t="shared" si="19"/>
        <v>7.2321649599013629</v>
      </c>
      <c r="AA69" s="109">
        <f t="shared" si="19"/>
        <v>9.4018144478717716</v>
      </c>
      <c r="AB69" s="109">
        <f t="shared" si="19"/>
        <v>7.822309620629313</v>
      </c>
      <c r="AC69" s="109">
        <f t="shared" si="19"/>
        <v>8.135202005454488</v>
      </c>
      <c r="AD69" s="109">
        <f t="shared" si="19"/>
        <v>9.51818634638175</v>
      </c>
      <c r="AE69" s="109">
        <f t="shared" si="19"/>
        <v>9.8989138002370183</v>
      </c>
      <c r="AF69" s="109">
        <f t="shared" si="19"/>
        <v>9.1509958686635571</v>
      </c>
      <c r="AG69" s="109">
        <f t="shared" si="19"/>
        <v>12.491109360725758</v>
      </c>
      <c r="AH69" s="109">
        <f t="shared" si="19"/>
        <v>10.39260298812383</v>
      </c>
      <c r="AI69" s="109">
        <f t="shared" si="19"/>
        <v>10.808307107648783</v>
      </c>
      <c r="AJ69" s="109">
        <f t="shared" si="19"/>
        <v>14.050799239943418</v>
      </c>
      <c r="AK69" s="109">
        <f t="shared" si="19"/>
        <v>11.690264967632924</v>
      </c>
      <c r="AL69" s="109">
        <f t="shared" si="19"/>
        <v>13.494599999999998</v>
      </c>
      <c r="AM69" s="109">
        <f t="shared" si="19"/>
        <v>13.494599999999998</v>
      </c>
      <c r="AN69" s="109">
        <f t="shared" si="19"/>
        <v>11.995200000000001</v>
      </c>
      <c r="AO69" s="109">
        <f t="shared" si="19"/>
        <v>11.995200000000001</v>
      </c>
    </row>
    <row r="70" spans="1:41" x14ac:dyDescent="0.3">
      <c r="A70" s="71"/>
    </row>
    <row r="71" spans="1:41" x14ac:dyDescent="0.3">
      <c r="A71" s="87" t="s">
        <v>111</v>
      </c>
    </row>
    <row r="72" spans="1:41" x14ac:dyDescent="0.3">
      <c r="A72" s="31" t="s">
        <v>12</v>
      </c>
      <c r="F72" s="98">
        <f t="shared" ref="F72:AO72" si="20">F45*F$21*F$11/DEN</f>
        <v>0</v>
      </c>
      <c r="G72" s="98">
        <f t="shared" si="20"/>
        <v>0</v>
      </c>
      <c r="H72" s="98">
        <f t="shared" si="20"/>
        <v>0</v>
      </c>
      <c r="I72" s="98">
        <f t="shared" si="20"/>
        <v>1.56</v>
      </c>
      <c r="J72" s="98">
        <f t="shared" si="20"/>
        <v>2.0280000000000005</v>
      </c>
      <c r="K72" s="98">
        <f t="shared" si="20"/>
        <v>1.6872960000000004</v>
      </c>
      <c r="L72" s="98">
        <f t="shared" si="20"/>
        <v>1.9741363200000006</v>
      </c>
      <c r="M72" s="98">
        <f t="shared" si="20"/>
        <v>2.0531017728000007</v>
      </c>
      <c r="N72" s="98">
        <f t="shared" si="20"/>
        <v>1.8979785277440007</v>
      </c>
      <c r="O72" s="98">
        <f t="shared" si="20"/>
        <v>2.4673720860672006</v>
      </c>
      <c r="P72" s="98">
        <f t="shared" si="20"/>
        <v>2.0528535756079109</v>
      </c>
      <c r="Q72" s="98">
        <f t="shared" si="20"/>
        <v>2.1349677186322271</v>
      </c>
      <c r="R72" s="98">
        <f t="shared" si="20"/>
        <v>2.2203664273775163</v>
      </c>
      <c r="S72" s="98">
        <f t="shared" si="20"/>
        <v>2.8864763555907715</v>
      </c>
      <c r="T72" s="98">
        <f t="shared" si="20"/>
        <v>2.4015483278515224</v>
      </c>
      <c r="U72" s="98">
        <f t="shared" si="20"/>
        <v>2.9503021207655951</v>
      </c>
      <c r="V72" s="98">
        <f t="shared" si="20"/>
        <v>3.0683142055962196</v>
      </c>
      <c r="W72" s="98">
        <f t="shared" si="20"/>
        <v>2.8364860211733931</v>
      </c>
      <c r="X72" s="98">
        <f t="shared" si="20"/>
        <v>3.6874318275254114</v>
      </c>
      <c r="Y72" s="98">
        <f t="shared" si="20"/>
        <v>3.0679432805011428</v>
      </c>
      <c r="Z72" s="98">
        <f t="shared" si="20"/>
        <v>3.1906610117211884</v>
      </c>
      <c r="AA72" s="98">
        <f t="shared" si="20"/>
        <v>4.1478593152375458</v>
      </c>
      <c r="AB72" s="98">
        <f t="shared" si="20"/>
        <v>3.4510189502776378</v>
      </c>
      <c r="AC72" s="98">
        <f t="shared" si="20"/>
        <v>3.5890597082887434</v>
      </c>
      <c r="AD72" s="98">
        <f t="shared" si="20"/>
        <v>4.1991998586978303</v>
      </c>
      <c r="AE72" s="98">
        <f t="shared" si="20"/>
        <v>4.3671678530457436</v>
      </c>
      <c r="AF72" s="98">
        <f t="shared" si="20"/>
        <v>4.0372040597045098</v>
      </c>
      <c r="AG72" s="98">
        <f t="shared" si="20"/>
        <v>5.5107835414966573</v>
      </c>
      <c r="AH72" s="98">
        <f t="shared" si="20"/>
        <v>4.5849719065252188</v>
      </c>
      <c r="AI72" s="98">
        <f t="shared" si="20"/>
        <v>4.7683707827862269</v>
      </c>
      <c r="AJ72" s="98">
        <f t="shared" si="20"/>
        <v>6.1988820176220951</v>
      </c>
      <c r="AK72" s="98">
        <f t="shared" si="20"/>
        <v>5.1574698386615836</v>
      </c>
      <c r="AL72" s="98">
        <f t="shared" si="20"/>
        <v>5.8046625000000001</v>
      </c>
      <c r="AM72" s="98">
        <f t="shared" si="20"/>
        <v>5.8046625000000001</v>
      </c>
      <c r="AN72" s="98">
        <f t="shared" si="20"/>
        <v>5.1597</v>
      </c>
      <c r="AO72" s="98">
        <f t="shared" si="20"/>
        <v>5.1597</v>
      </c>
    </row>
    <row r="73" spans="1:41" x14ac:dyDescent="0.3">
      <c r="A73" s="31" t="s">
        <v>13</v>
      </c>
      <c r="F73" s="98">
        <f t="shared" ref="F73:AO73" si="21">F46*F$21*F$11/DEN</f>
        <v>0</v>
      </c>
      <c r="G73" s="98">
        <f t="shared" si="21"/>
        <v>0</v>
      </c>
      <c r="H73" s="98">
        <f t="shared" si="21"/>
        <v>0</v>
      </c>
      <c r="I73" s="98">
        <f t="shared" si="21"/>
        <v>0.6</v>
      </c>
      <c r="J73" s="98">
        <f t="shared" si="21"/>
        <v>0.78000000000000014</v>
      </c>
      <c r="K73" s="98">
        <f t="shared" si="21"/>
        <v>0.64896000000000009</v>
      </c>
      <c r="L73" s="98">
        <f t="shared" si="21"/>
        <v>0.75928320000000038</v>
      </c>
      <c r="M73" s="98">
        <f t="shared" si="21"/>
        <v>0.78965452800000024</v>
      </c>
      <c r="N73" s="98">
        <f t="shared" si="21"/>
        <v>0.72999174144000023</v>
      </c>
      <c r="O73" s="98">
        <f t="shared" si="21"/>
        <v>0.94898926387200033</v>
      </c>
      <c r="P73" s="98">
        <f t="shared" si="21"/>
        <v>0.78955906754150418</v>
      </c>
      <c r="Q73" s="98">
        <f t="shared" si="21"/>
        <v>0.82114143024316433</v>
      </c>
      <c r="R73" s="98">
        <f t="shared" si="21"/>
        <v>0.85398708745289098</v>
      </c>
      <c r="S73" s="98">
        <f t="shared" si="21"/>
        <v>1.1101832136887584</v>
      </c>
      <c r="T73" s="98">
        <f t="shared" si="21"/>
        <v>0.92367243378904706</v>
      </c>
      <c r="U73" s="98">
        <f t="shared" si="21"/>
        <v>1.1347315849098443</v>
      </c>
      <c r="V73" s="98">
        <f t="shared" si="21"/>
        <v>1.180120848306238</v>
      </c>
      <c r="W73" s="98">
        <f t="shared" si="21"/>
        <v>1.0909561619897667</v>
      </c>
      <c r="X73" s="98">
        <f t="shared" si="21"/>
        <v>1.418243010586697</v>
      </c>
      <c r="Y73" s="98">
        <f t="shared" si="21"/>
        <v>1.1799781848081319</v>
      </c>
      <c r="Z73" s="98">
        <f t="shared" si="21"/>
        <v>1.227177312200457</v>
      </c>
      <c r="AA73" s="98">
        <f t="shared" si="21"/>
        <v>1.5953305058605942</v>
      </c>
      <c r="AB73" s="98">
        <f t="shared" si="21"/>
        <v>1.3273149808760145</v>
      </c>
      <c r="AC73" s="98">
        <f t="shared" si="21"/>
        <v>1.3804075801110549</v>
      </c>
      <c r="AD73" s="98">
        <f t="shared" si="21"/>
        <v>1.6150768687299346</v>
      </c>
      <c r="AE73" s="98">
        <f t="shared" si="21"/>
        <v>1.6796799434791319</v>
      </c>
      <c r="AF73" s="98">
        <f t="shared" si="21"/>
        <v>1.5527707921940423</v>
      </c>
      <c r="AG73" s="98">
        <f t="shared" si="21"/>
        <v>2.1195321313448683</v>
      </c>
      <c r="AH73" s="98">
        <f t="shared" si="21"/>
        <v>1.7634507332789302</v>
      </c>
      <c r="AI73" s="98">
        <f t="shared" si="21"/>
        <v>1.8339887626100873</v>
      </c>
      <c r="AJ73" s="98">
        <f t="shared" si="21"/>
        <v>2.3841853913931135</v>
      </c>
      <c r="AK73" s="98">
        <f t="shared" si="21"/>
        <v>1.9836422456390705</v>
      </c>
      <c r="AL73" s="98">
        <f t="shared" si="21"/>
        <v>2.2325624999999998</v>
      </c>
      <c r="AM73" s="98">
        <f t="shared" si="21"/>
        <v>2.2325624999999998</v>
      </c>
      <c r="AN73" s="98">
        <f t="shared" si="21"/>
        <v>1.9844999999999999</v>
      </c>
      <c r="AO73" s="98">
        <f t="shared" si="21"/>
        <v>1.9844999999999999</v>
      </c>
    </row>
    <row r="74" spans="1:41" x14ac:dyDescent="0.3">
      <c r="A74" s="31" t="s">
        <v>14</v>
      </c>
      <c r="F74" s="98">
        <f t="shared" ref="F74:AO74" si="22">F47*F$21*F$11/DEN</f>
        <v>0</v>
      </c>
      <c r="G74" s="98">
        <f t="shared" si="22"/>
        <v>0</v>
      </c>
      <c r="H74" s="98">
        <f t="shared" si="22"/>
        <v>0</v>
      </c>
      <c r="I74" s="98">
        <f t="shared" si="22"/>
        <v>2.4</v>
      </c>
      <c r="J74" s="98">
        <f t="shared" si="22"/>
        <v>3.1200000000000006</v>
      </c>
      <c r="K74" s="98">
        <f t="shared" si="22"/>
        <v>2.5958400000000004</v>
      </c>
      <c r="L74" s="98">
        <f t="shared" si="22"/>
        <v>3.0371328000000015</v>
      </c>
      <c r="M74" s="98">
        <f t="shared" si="22"/>
        <v>3.158618112000001</v>
      </c>
      <c r="N74" s="98">
        <f t="shared" si="22"/>
        <v>2.9199669657600009</v>
      </c>
      <c r="O74" s="98">
        <f t="shared" si="22"/>
        <v>3.7959570554880013</v>
      </c>
      <c r="P74" s="98">
        <f t="shared" si="22"/>
        <v>3.1582362701660167</v>
      </c>
      <c r="Q74" s="98">
        <f t="shared" si="22"/>
        <v>3.2845657209726573</v>
      </c>
      <c r="R74" s="98">
        <f t="shared" si="22"/>
        <v>3.4159483498115639</v>
      </c>
      <c r="S74" s="98">
        <f t="shared" si="22"/>
        <v>4.4407328547550335</v>
      </c>
      <c r="T74" s="98">
        <f t="shared" si="22"/>
        <v>3.6946897351561883</v>
      </c>
      <c r="U74" s="98">
        <f t="shared" si="22"/>
        <v>4.5389263396393771</v>
      </c>
      <c r="V74" s="98">
        <f t="shared" si="22"/>
        <v>4.7204833932249519</v>
      </c>
      <c r="W74" s="98">
        <f t="shared" si="22"/>
        <v>4.363824647959067</v>
      </c>
      <c r="X74" s="98">
        <f t="shared" si="22"/>
        <v>5.672972042346788</v>
      </c>
      <c r="Y74" s="98">
        <f t="shared" si="22"/>
        <v>4.7199127392325275</v>
      </c>
      <c r="Z74" s="98">
        <f t="shared" si="22"/>
        <v>4.908709248801828</v>
      </c>
      <c r="AA74" s="98">
        <f t="shared" si="22"/>
        <v>6.3813220234423769</v>
      </c>
      <c r="AB74" s="98">
        <f t="shared" si="22"/>
        <v>5.3092599235040581</v>
      </c>
      <c r="AC74" s="98">
        <f t="shared" si="22"/>
        <v>5.5216303204442196</v>
      </c>
      <c r="AD74" s="98">
        <f t="shared" si="22"/>
        <v>6.4603074749197384</v>
      </c>
      <c r="AE74" s="98">
        <f t="shared" si="22"/>
        <v>6.7187197739165274</v>
      </c>
      <c r="AF74" s="98">
        <f t="shared" si="22"/>
        <v>6.2110831687761694</v>
      </c>
      <c r="AG74" s="98">
        <f t="shared" si="22"/>
        <v>8.4781285253794731</v>
      </c>
      <c r="AH74" s="98">
        <f t="shared" si="22"/>
        <v>7.0538029331157208</v>
      </c>
      <c r="AI74" s="98">
        <f t="shared" si="22"/>
        <v>7.335955050440349</v>
      </c>
      <c r="AJ74" s="98">
        <f t="shared" si="22"/>
        <v>9.5367415655724539</v>
      </c>
      <c r="AK74" s="98">
        <f t="shared" si="22"/>
        <v>7.9345689825562822</v>
      </c>
      <c r="AL74" s="98">
        <f t="shared" si="22"/>
        <v>8.9302499999999991</v>
      </c>
      <c r="AM74" s="98">
        <f t="shared" si="22"/>
        <v>8.9302499999999991</v>
      </c>
      <c r="AN74" s="98">
        <f t="shared" si="22"/>
        <v>7.9379999999999997</v>
      </c>
      <c r="AO74" s="98">
        <f t="shared" si="22"/>
        <v>7.9379999999999997</v>
      </c>
    </row>
    <row r="75" spans="1:41" s="120" customFormat="1" x14ac:dyDescent="0.3">
      <c r="A75" s="106" t="s">
        <v>115</v>
      </c>
      <c r="B75" s="119"/>
      <c r="C75" s="119"/>
      <c r="D75" s="119"/>
      <c r="E75" s="119"/>
      <c r="F75" s="109">
        <f>SUM(F72:F74)</f>
        <v>0</v>
      </c>
      <c r="G75" s="109">
        <f t="shared" ref="G75:AO75" si="23">SUM(G72:G74)</f>
        <v>0</v>
      </c>
      <c r="H75" s="109">
        <f t="shared" si="23"/>
        <v>0</v>
      </c>
      <c r="I75" s="109">
        <f t="shared" si="23"/>
        <v>4.5600000000000005</v>
      </c>
      <c r="J75" s="109">
        <f t="shared" si="23"/>
        <v>5.9280000000000008</v>
      </c>
      <c r="K75" s="109">
        <f t="shared" si="23"/>
        <v>4.9320960000000014</v>
      </c>
      <c r="L75" s="109">
        <f t="shared" si="23"/>
        <v>5.770552320000002</v>
      </c>
      <c r="M75" s="109">
        <f t="shared" si="23"/>
        <v>6.0013744128000024</v>
      </c>
      <c r="N75" s="109">
        <f t="shared" si="23"/>
        <v>5.5479372349440013</v>
      </c>
      <c r="O75" s="109">
        <f t="shared" si="23"/>
        <v>7.2123184054272027</v>
      </c>
      <c r="P75" s="109">
        <f t="shared" si="23"/>
        <v>6.0006489133154322</v>
      </c>
      <c r="Q75" s="109">
        <f t="shared" si="23"/>
        <v>6.240674869848049</v>
      </c>
      <c r="R75" s="109">
        <f t="shared" si="23"/>
        <v>6.490301864641971</v>
      </c>
      <c r="S75" s="109">
        <f t="shared" si="23"/>
        <v>8.437392424034563</v>
      </c>
      <c r="T75" s="109">
        <f t="shared" si="23"/>
        <v>7.0199104967967578</v>
      </c>
      <c r="U75" s="109">
        <f t="shared" si="23"/>
        <v>8.6239600453148171</v>
      </c>
      <c r="V75" s="109">
        <f t="shared" si="23"/>
        <v>8.9689184471274093</v>
      </c>
      <c r="W75" s="109">
        <f t="shared" si="23"/>
        <v>8.2912668311222273</v>
      </c>
      <c r="X75" s="109">
        <f t="shared" si="23"/>
        <v>10.778646880458897</v>
      </c>
      <c r="Y75" s="109">
        <f t="shared" si="23"/>
        <v>8.967834204541802</v>
      </c>
      <c r="Z75" s="109">
        <f t="shared" si="23"/>
        <v>9.3265475727234737</v>
      </c>
      <c r="AA75" s="109">
        <f t="shared" si="23"/>
        <v>12.124511844540518</v>
      </c>
      <c r="AB75" s="109">
        <f t="shared" si="23"/>
        <v>10.08759385465771</v>
      </c>
      <c r="AC75" s="109">
        <f t="shared" si="23"/>
        <v>10.491097608844019</v>
      </c>
      <c r="AD75" s="109">
        <f t="shared" si="23"/>
        <v>12.274584202347503</v>
      </c>
      <c r="AE75" s="109">
        <f t="shared" si="23"/>
        <v>12.765567570441403</v>
      </c>
      <c r="AF75" s="109">
        <f t="shared" si="23"/>
        <v>11.801058020674722</v>
      </c>
      <c r="AG75" s="109">
        <f t="shared" si="23"/>
        <v>16.108444198221001</v>
      </c>
      <c r="AH75" s="109">
        <f t="shared" si="23"/>
        <v>13.402225572919869</v>
      </c>
      <c r="AI75" s="109">
        <f t="shared" si="23"/>
        <v>13.938314595836664</v>
      </c>
      <c r="AJ75" s="109">
        <f t="shared" si="23"/>
        <v>18.119808974587663</v>
      </c>
      <c r="AK75" s="109">
        <f t="shared" si="23"/>
        <v>15.075681066856937</v>
      </c>
      <c r="AL75" s="109">
        <f t="shared" si="23"/>
        <v>16.967475</v>
      </c>
      <c r="AM75" s="109">
        <f t="shared" si="23"/>
        <v>16.967475</v>
      </c>
      <c r="AN75" s="109">
        <f t="shared" si="23"/>
        <v>15.0822</v>
      </c>
      <c r="AO75" s="109">
        <f t="shared" si="23"/>
        <v>15.0822</v>
      </c>
    </row>
    <row r="77" spans="1:41" x14ac:dyDescent="0.3">
      <c r="A77" s="71" t="s">
        <v>117</v>
      </c>
    </row>
    <row r="78" spans="1:41" x14ac:dyDescent="0.3">
      <c r="A78" s="31" t="s">
        <v>12</v>
      </c>
      <c r="F78" s="98">
        <f>F53+F59+F66+F72</f>
        <v>0</v>
      </c>
      <c r="G78" s="98">
        <f t="shared" ref="G78:AO78" si="24">G53+G59+G66+G72</f>
        <v>0</v>
      </c>
      <c r="H78" s="98">
        <f t="shared" si="24"/>
        <v>0</v>
      </c>
      <c r="I78" s="98">
        <f t="shared" si="24"/>
        <v>6.3719999999999999</v>
      </c>
      <c r="J78" s="98">
        <f t="shared" si="24"/>
        <v>6.8928800000000008</v>
      </c>
      <c r="K78" s="98">
        <f t="shared" si="24"/>
        <v>6.5659232000000003</v>
      </c>
      <c r="L78" s="98">
        <f t="shared" si="24"/>
        <v>7.1190656640000007</v>
      </c>
      <c r="M78" s="98">
        <f t="shared" si="24"/>
        <v>7.1497326470400013</v>
      </c>
      <c r="N78" s="98">
        <f t="shared" si="24"/>
        <v>7.3278903359104017</v>
      </c>
      <c r="O78" s="98">
        <f t="shared" si="24"/>
        <v>7.9907901820572169</v>
      </c>
      <c r="P78" s="98">
        <f t="shared" si="24"/>
        <v>7.1891116159028225</v>
      </c>
      <c r="Q78" s="98">
        <f t="shared" si="24"/>
        <v>7.9777787161942584</v>
      </c>
      <c r="R78" s="98">
        <f t="shared" si="24"/>
        <v>8.0125046998851595</v>
      </c>
      <c r="S78" s="98">
        <f t="shared" si="24"/>
        <v>9.0090107084465636</v>
      </c>
      <c r="T78" s="98">
        <f t="shared" si="24"/>
        <v>8.4886750511071103</v>
      </c>
      <c r="U78" s="98">
        <f t="shared" si="24"/>
        <v>9.7217774157967387</v>
      </c>
      <c r="V78" s="98">
        <f t="shared" si="24"/>
        <v>10.014556368138194</v>
      </c>
      <c r="W78" s="98">
        <f t="shared" si="24"/>
        <v>9.7261900479430405</v>
      </c>
      <c r="X78" s="98">
        <f t="shared" si="24"/>
        <v>11.012648797590071</v>
      </c>
      <c r="Y78" s="98">
        <f t="shared" si="24"/>
        <v>10.313900166000515</v>
      </c>
      <c r="Z78" s="98">
        <f t="shared" si="24"/>
        <v>10.863564517722164</v>
      </c>
      <c r="AA78" s="98">
        <f t="shared" si="24"/>
        <v>12.077922939214561</v>
      </c>
      <c r="AB78" s="98">
        <f t="shared" si="24"/>
        <v>10.768955928648468</v>
      </c>
      <c r="AC78" s="98">
        <f t="shared" si="24"/>
        <v>11.867009436993111</v>
      </c>
      <c r="AD78" s="98">
        <f t="shared" si="24"/>
        <v>12.479619063966716</v>
      </c>
      <c r="AE78" s="98">
        <f t="shared" si="24"/>
        <v>13.135402473176917</v>
      </c>
      <c r="AF78" s="98">
        <f t="shared" si="24"/>
        <v>12.702598605303542</v>
      </c>
      <c r="AG78" s="98">
        <f t="shared" si="24"/>
        <v>15.291891556457688</v>
      </c>
      <c r="AH78" s="98">
        <f t="shared" si="24"/>
        <v>14.464293150969558</v>
      </c>
      <c r="AI78" s="98">
        <f t="shared" si="24"/>
        <v>14.603840681616774</v>
      </c>
      <c r="AJ78" s="98">
        <f t="shared" si="24"/>
        <v>16.812535050041205</v>
      </c>
      <c r="AK78" s="98">
        <f t="shared" si="24"/>
        <v>15.521263972238746</v>
      </c>
      <c r="AL78" s="98">
        <f t="shared" si="24"/>
        <v>16.837653025958829</v>
      </c>
      <c r="AM78" s="98">
        <f t="shared" si="24"/>
        <v>16.978932836478005</v>
      </c>
      <c r="AN78" s="98">
        <f t="shared" si="24"/>
        <v>15.368950675643241</v>
      </c>
      <c r="AO78" s="98">
        <f t="shared" si="24"/>
        <v>16.52480704252952</v>
      </c>
    </row>
    <row r="79" spans="1:41" x14ac:dyDescent="0.3">
      <c r="A79" s="31" t="s">
        <v>13</v>
      </c>
      <c r="F79" s="98">
        <f t="shared" ref="F79:AO79" si="25">F54+F60+F67+F73</f>
        <v>0</v>
      </c>
      <c r="G79" s="98">
        <f t="shared" si="25"/>
        <v>0</v>
      </c>
      <c r="H79" s="98">
        <f t="shared" si="25"/>
        <v>0</v>
      </c>
      <c r="I79" s="98">
        <f t="shared" si="25"/>
        <v>3.1320000000000001</v>
      </c>
      <c r="J79" s="98">
        <f t="shared" si="25"/>
        <v>3.2914400000000001</v>
      </c>
      <c r="K79" s="98">
        <f t="shared" si="25"/>
        <v>3.2046752000000005</v>
      </c>
      <c r="L79" s="98">
        <f t="shared" si="25"/>
        <v>3.4336045440000005</v>
      </c>
      <c r="M79" s="98">
        <f t="shared" si="25"/>
        <v>3.4284072672000003</v>
      </c>
      <c r="N79" s="98">
        <f t="shared" si="25"/>
        <v>3.5723543284096007</v>
      </c>
      <c r="O79" s="98">
        <f t="shared" si="25"/>
        <v>3.7827009475079687</v>
      </c>
      <c r="P79" s="98">
        <f t="shared" si="25"/>
        <v>3.450568316178289</v>
      </c>
      <c r="Q79" s="98">
        <f t="shared" si="25"/>
        <v>3.8696974054125528</v>
      </c>
      <c r="R79" s="98">
        <f t="shared" si="25"/>
        <v>3.8649521603117858</v>
      </c>
      <c r="S79" s="98">
        <f t="shared" si="25"/>
        <v>4.2350074612761688</v>
      </c>
      <c r="T79" s="98">
        <f t="shared" si="25"/>
        <v>4.0806749214068958</v>
      </c>
      <c r="U79" s="98">
        <f t="shared" si="25"/>
        <v>4.616746278918324</v>
      </c>
      <c r="V79" s="98">
        <f t="shared" si="25"/>
        <v>4.7475107808389714</v>
      </c>
      <c r="W79" s="98">
        <f t="shared" si="25"/>
        <v>4.6515087015638876</v>
      </c>
      <c r="X79" s="98">
        <f t="shared" si="25"/>
        <v>5.1317866757178034</v>
      </c>
      <c r="Y79" s="98">
        <f t="shared" si="25"/>
        <v>4.9155405734003388</v>
      </c>
      <c r="Z79" s="98">
        <f t="shared" si="25"/>
        <v>5.1890766338211698</v>
      </c>
      <c r="AA79" s="98">
        <f t="shared" si="25"/>
        <v>5.5987666610905</v>
      </c>
      <c r="AB79" s="98">
        <f t="shared" si="25"/>
        <v>5.0621458862737576</v>
      </c>
      <c r="AC79" s="98">
        <f t="shared" si="25"/>
        <v>5.6389680933727613</v>
      </c>
      <c r="AD79" s="98">
        <f t="shared" si="25"/>
        <v>5.8095442429473465</v>
      </c>
      <c r="AE79" s="98">
        <f t="shared" si="25"/>
        <v>6.1297740339575633</v>
      </c>
      <c r="AF79" s="98">
        <f t="shared" si="25"/>
        <v>5.9805848577081377</v>
      </c>
      <c r="AG79" s="98">
        <f t="shared" si="25"/>
        <v>7.0150940035770262</v>
      </c>
      <c r="AH79" s="98">
        <f t="shared" si="25"/>
        <v>6.8134632267791453</v>
      </c>
      <c r="AI79" s="98">
        <f t="shared" si="25"/>
        <v>6.8397198901428471</v>
      </c>
      <c r="AJ79" s="98">
        <f t="shared" si="25"/>
        <v>7.6729399979321933</v>
      </c>
      <c r="AK79" s="98">
        <f t="shared" si="25"/>
        <v>7.2439934110576987</v>
      </c>
      <c r="AL79" s="98">
        <f t="shared" si="25"/>
        <v>7.7828888926110498</v>
      </c>
      <c r="AM79" s="98">
        <f t="shared" si="25"/>
        <v>7.862143420463271</v>
      </c>
      <c r="AN79" s="98">
        <f t="shared" si="25"/>
        <v>7.1437186717023051</v>
      </c>
      <c r="AO79" s="98">
        <f t="shared" si="25"/>
        <v>7.7921259019068048</v>
      </c>
    </row>
    <row r="80" spans="1:41" x14ac:dyDescent="0.3">
      <c r="A80" s="31" t="s">
        <v>14</v>
      </c>
      <c r="F80" s="98">
        <f t="shared" ref="F80:AO80" si="26">F55+F61+F68+F74</f>
        <v>0</v>
      </c>
      <c r="G80" s="98">
        <f t="shared" si="26"/>
        <v>0</v>
      </c>
      <c r="H80" s="98">
        <f t="shared" si="26"/>
        <v>0</v>
      </c>
      <c r="I80" s="98">
        <f t="shared" si="26"/>
        <v>15.06</v>
      </c>
      <c r="J80" s="98">
        <f t="shared" si="26"/>
        <v>15.677200000000003</v>
      </c>
      <c r="K80" s="98">
        <f t="shared" si="26"/>
        <v>15.374416000000002</v>
      </c>
      <c r="L80" s="98">
        <f t="shared" si="26"/>
        <v>16.408739520000001</v>
      </c>
      <c r="M80" s="98">
        <f t="shared" si="26"/>
        <v>16.352381808000004</v>
      </c>
      <c r="N80" s="98">
        <f t="shared" si="26"/>
        <v>17.131779900608002</v>
      </c>
      <c r="O80" s="98">
        <f t="shared" si="26"/>
        <v>17.964515473667841</v>
      </c>
      <c r="P80" s="98">
        <f t="shared" si="26"/>
        <v>16.463282513349942</v>
      </c>
      <c r="Q80" s="98">
        <f t="shared" si="26"/>
        <v>18.527345596819597</v>
      </c>
      <c r="R80" s="98">
        <f t="shared" si="26"/>
        <v>18.470773714106041</v>
      </c>
      <c r="S80" s="98">
        <f t="shared" si="26"/>
        <v>20.064854092692084</v>
      </c>
      <c r="T80" s="98">
        <f t="shared" si="26"/>
        <v>19.479702173245432</v>
      </c>
      <c r="U80" s="98">
        <f t="shared" si="26"/>
        <v>21.94899980968178</v>
      </c>
      <c r="V80" s="98">
        <f t="shared" si="26"/>
        <v>22.557433055888616</v>
      </c>
      <c r="W80" s="98">
        <f t="shared" si="26"/>
        <v>22.166587345829672</v>
      </c>
      <c r="X80" s="98">
        <f t="shared" si="26"/>
        <v>24.240690368002319</v>
      </c>
      <c r="Y80" s="98">
        <f t="shared" si="26"/>
        <v>23.397724682193562</v>
      </c>
      <c r="Z80" s="98">
        <f t="shared" si="26"/>
        <v>24.718205856905389</v>
      </c>
      <c r="AA80" s="98">
        <f t="shared" si="26"/>
        <v>26.398502799591906</v>
      </c>
      <c r="AB80" s="98">
        <f t="shared" si="26"/>
        <v>23.983414450492777</v>
      </c>
      <c r="AC80" s="98">
        <f t="shared" si="26"/>
        <v>26.814432886752751</v>
      </c>
      <c r="AD80" s="98">
        <f t="shared" si="26"/>
        <v>27.432644346006796</v>
      </c>
      <c r="AE80" s="98">
        <f t="shared" si="26"/>
        <v>28.969190226308683</v>
      </c>
      <c r="AF80" s="98">
        <f t="shared" si="26"/>
        <v>28.350153496346643</v>
      </c>
      <c r="AG80" s="98">
        <f t="shared" si="26"/>
        <v>32.955937886540262</v>
      </c>
      <c r="AH80" s="98">
        <f t="shared" si="26"/>
        <v>32.3038654006168</v>
      </c>
      <c r="AI80" s="98">
        <f t="shared" si="26"/>
        <v>32.36461068810415</v>
      </c>
      <c r="AJ80" s="98">
        <f t="shared" si="26"/>
        <v>35.980514598267852</v>
      </c>
      <c r="AK80" s="98">
        <f t="shared" si="26"/>
        <v>34.236324809649432</v>
      </c>
      <c r="AL80" s="98">
        <f t="shared" si="26"/>
        <v>36.681881963055247</v>
      </c>
      <c r="AM80" s="98">
        <f t="shared" si="26"/>
        <v>37.078154602316353</v>
      </c>
      <c r="AN80" s="98">
        <f t="shared" si="26"/>
        <v>33.734093358511529</v>
      </c>
      <c r="AO80" s="98">
        <f t="shared" si="26"/>
        <v>36.976129509534026</v>
      </c>
    </row>
    <row r="81" spans="1:41" s="123" customFormat="1" ht="15" thickBot="1" x14ac:dyDescent="0.35">
      <c r="A81" s="121" t="s">
        <v>114</v>
      </c>
      <c r="B81" s="122"/>
      <c r="C81" s="122"/>
      <c r="D81" s="122"/>
      <c r="E81" s="122"/>
      <c r="F81" s="123">
        <f>SUM(F78:F80)</f>
        <v>0</v>
      </c>
      <c r="G81" s="123">
        <f t="shared" ref="G81:AO81" si="27">SUM(G78:G80)</f>
        <v>0</v>
      </c>
      <c r="H81" s="123">
        <f t="shared" si="27"/>
        <v>0</v>
      </c>
      <c r="I81" s="123">
        <f t="shared" si="27"/>
        <v>24.564</v>
      </c>
      <c r="J81" s="123">
        <f t="shared" si="27"/>
        <v>25.861520000000006</v>
      </c>
      <c r="K81" s="123">
        <f t="shared" si="27"/>
        <v>25.145014400000001</v>
      </c>
      <c r="L81" s="123">
        <f t="shared" si="27"/>
        <v>26.961409728000003</v>
      </c>
      <c r="M81" s="123">
        <f t="shared" si="27"/>
        <v>26.930521722240005</v>
      </c>
      <c r="N81" s="123">
        <f t="shared" si="27"/>
        <v>28.032024564928005</v>
      </c>
      <c r="O81" s="123">
        <f t="shared" si="27"/>
        <v>29.738006603233025</v>
      </c>
      <c r="P81" s="123">
        <f t="shared" si="27"/>
        <v>27.102962445431054</v>
      </c>
      <c r="Q81" s="123">
        <f t="shared" si="27"/>
        <v>30.374821718426407</v>
      </c>
      <c r="R81" s="123">
        <f t="shared" si="27"/>
        <v>30.348230574302988</v>
      </c>
      <c r="S81" s="123">
        <f t="shared" si="27"/>
        <v>33.308872262414816</v>
      </c>
      <c r="T81" s="123">
        <f t="shared" si="27"/>
        <v>32.04905214575944</v>
      </c>
      <c r="U81" s="123">
        <f t="shared" si="27"/>
        <v>36.287523504396844</v>
      </c>
      <c r="V81" s="123">
        <f t="shared" si="27"/>
        <v>37.319500204865783</v>
      </c>
      <c r="W81" s="123">
        <f t="shared" si="27"/>
        <v>36.544286095336602</v>
      </c>
      <c r="X81" s="123">
        <f t="shared" si="27"/>
        <v>40.385125841310192</v>
      </c>
      <c r="Y81" s="123">
        <f t="shared" si="27"/>
        <v>38.627165421594412</v>
      </c>
      <c r="Z81" s="123">
        <f t="shared" si="27"/>
        <v>40.770847008448726</v>
      </c>
      <c r="AA81" s="123">
        <f t="shared" si="27"/>
        <v>44.075192399896963</v>
      </c>
      <c r="AB81" s="123">
        <f t="shared" si="27"/>
        <v>39.814516265415001</v>
      </c>
      <c r="AC81" s="123">
        <f t="shared" si="27"/>
        <v>44.320410417118623</v>
      </c>
      <c r="AD81" s="123">
        <f t="shared" si="27"/>
        <v>45.721807652920859</v>
      </c>
      <c r="AE81" s="123">
        <f t="shared" si="27"/>
        <v>48.234366733443167</v>
      </c>
      <c r="AF81" s="123">
        <f t="shared" si="27"/>
        <v>47.033336959358323</v>
      </c>
      <c r="AG81" s="123">
        <f t="shared" si="27"/>
        <v>55.262923446574973</v>
      </c>
      <c r="AH81" s="123">
        <f t="shared" si="27"/>
        <v>53.581621778365502</v>
      </c>
      <c r="AI81" s="123">
        <f t="shared" si="27"/>
        <v>53.808171259863769</v>
      </c>
      <c r="AJ81" s="123">
        <f t="shared" si="27"/>
        <v>60.465989646241255</v>
      </c>
      <c r="AK81" s="123">
        <f t="shared" si="27"/>
        <v>57.001582192945875</v>
      </c>
      <c r="AL81" s="123">
        <f t="shared" si="27"/>
        <v>61.302423881625124</v>
      </c>
      <c r="AM81" s="123">
        <f t="shared" si="27"/>
        <v>61.919230859257631</v>
      </c>
      <c r="AN81" s="123">
        <f t="shared" si="27"/>
        <v>56.24676270585708</v>
      </c>
      <c r="AO81" s="123">
        <f t="shared" si="27"/>
        <v>61.29306245397035</v>
      </c>
    </row>
    <row r="82" spans="1:41" ht="15" thickTop="1" x14ac:dyDescent="0.3"/>
    <row r="84" spans="1:41" s="125" customFormat="1" x14ac:dyDescent="0.3">
      <c r="A84" s="126" t="s">
        <v>118</v>
      </c>
      <c r="B84" s="124"/>
      <c r="C84" s="124"/>
      <c r="D84" s="124"/>
      <c r="E84" s="124"/>
    </row>
  </sheetData>
  <pageMargins left="0.7" right="0.7" top="0.75" bottom="0.75" header="0.3" footer="0.3"/>
  <pageSetup scale="2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FEC3-933A-45C1-8F6E-75A1FEA7A6D5}">
  <dimension ref="A1:AO39"/>
  <sheetViews>
    <sheetView topLeftCell="X4" zoomScale="81" zoomScaleNormal="81" workbookViewId="0">
      <selection activeCell="A9" sqref="A9:A35"/>
    </sheetView>
  </sheetViews>
  <sheetFormatPr defaultRowHeight="14.4" x14ac:dyDescent="0.3"/>
  <cols>
    <col min="1" max="1" width="18.33203125" bestFit="1" customWidth="1"/>
    <col min="2" max="2" width="8.77734375" bestFit="1" customWidth="1"/>
    <col min="5" max="5" width="2" bestFit="1" customWidth="1"/>
    <col min="6" max="6" width="11.33203125" bestFit="1" customWidth="1"/>
    <col min="7" max="7" width="11.109375" customWidth="1"/>
    <col min="8" max="8" width="11.33203125" bestFit="1" customWidth="1"/>
    <col min="9" max="9" width="14.77734375" customWidth="1"/>
    <col min="10" max="10" width="13.21875" bestFit="1" customWidth="1"/>
    <col min="11" max="11" width="16.5546875" bestFit="1" customWidth="1"/>
    <col min="12" max="12" width="14.33203125" bestFit="1" customWidth="1"/>
    <col min="13" max="13" width="16.109375" bestFit="1" customWidth="1"/>
    <col min="14" max="14" width="16.21875" bestFit="1" customWidth="1"/>
    <col min="15" max="15" width="13.88671875" bestFit="1" customWidth="1"/>
    <col min="16" max="16" width="14.88671875" bestFit="1" customWidth="1"/>
    <col min="17" max="17" width="12.77734375" bestFit="1" customWidth="1"/>
    <col min="18" max="18" width="11.33203125" bestFit="1" customWidth="1"/>
    <col min="19" max="19" width="10.88671875" bestFit="1" customWidth="1"/>
    <col min="20" max="20" width="11.33203125" bestFit="1" customWidth="1"/>
    <col min="21" max="21" width="11" customWidth="1"/>
    <col min="22" max="22" width="13.21875" bestFit="1" customWidth="1"/>
    <col min="23" max="23" width="16.5546875" bestFit="1" customWidth="1"/>
    <col min="24" max="24" width="14.33203125" bestFit="1" customWidth="1"/>
    <col min="25" max="25" width="16.109375" bestFit="1" customWidth="1"/>
    <col min="26" max="26" width="16.21875" bestFit="1" customWidth="1"/>
    <col min="27" max="27" width="13.88671875" bestFit="1" customWidth="1"/>
    <col min="28" max="28" width="14.88671875" bestFit="1" customWidth="1"/>
    <col min="29" max="29" width="12.77734375" bestFit="1" customWidth="1"/>
    <col min="30" max="30" width="11.33203125" bestFit="1" customWidth="1"/>
    <col min="31" max="31" width="10.88671875" bestFit="1" customWidth="1"/>
    <col min="32" max="32" width="11.33203125" bestFit="1" customWidth="1"/>
    <col min="33" max="33" width="11.33203125" customWidth="1"/>
    <col min="34" max="34" width="13.21875" bestFit="1" customWidth="1"/>
    <col min="35" max="35" width="16.5546875" bestFit="1" customWidth="1"/>
    <col min="36" max="36" width="14.33203125" bestFit="1" customWidth="1"/>
    <col min="37" max="37" width="16.109375" bestFit="1" customWidth="1"/>
    <col min="38" max="38" width="16.21875" bestFit="1" customWidth="1"/>
    <col min="39" max="39" width="13.88671875" bestFit="1" customWidth="1"/>
    <col min="40" max="40" width="14.88671875" bestFit="1" customWidth="1"/>
    <col min="41" max="41" width="12.77734375" bestFit="1" customWidth="1"/>
  </cols>
  <sheetData>
    <row r="1" spans="1:41" x14ac:dyDescent="0.3">
      <c r="A1" s="93" t="s">
        <v>105</v>
      </c>
      <c r="B1" s="92" t="str">
        <f>CONVERTER!C1</f>
        <v>LAKHS</v>
      </c>
    </row>
    <row r="7" spans="1:41" x14ac:dyDescent="0.3">
      <c r="E7">
        <v>0</v>
      </c>
      <c r="F7" s="95">
        <v>1</v>
      </c>
      <c r="G7" s="95">
        <v>2</v>
      </c>
      <c r="H7" s="95">
        <v>3</v>
      </c>
      <c r="I7" s="95">
        <v>4</v>
      </c>
      <c r="J7" s="95">
        <v>5</v>
      </c>
      <c r="K7" s="95">
        <v>6</v>
      </c>
      <c r="L7" s="95">
        <v>7</v>
      </c>
      <c r="M7" s="95">
        <v>8</v>
      </c>
      <c r="N7" s="95">
        <v>9</v>
      </c>
      <c r="O7" s="95">
        <v>10</v>
      </c>
      <c r="P7" s="95">
        <v>11</v>
      </c>
      <c r="Q7" s="95">
        <v>12</v>
      </c>
      <c r="R7" s="95">
        <v>13</v>
      </c>
      <c r="S7" s="95">
        <v>14</v>
      </c>
      <c r="T7" s="95">
        <v>15</v>
      </c>
      <c r="U7" s="95">
        <v>16</v>
      </c>
      <c r="V7" s="95">
        <v>17</v>
      </c>
      <c r="W7" s="95">
        <v>18</v>
      </c>
      <c r="X7" s="95">
        <v>19</v>
      </c>
      <c r="Y7" s="95">
        <v>20</v>
      </c>
      <c r="Z7" s="95">
        <v>21</v>
      </c>
      <c r="AA7" s="95">
        <v>22</v>
      </c>
      <c r="AB7" s="95">
        <v>23</v>
      </c>
      <c r="AC7" s="95">
        <v>24</v>
      </c>
      <c r="AD7" s="95">
        <v>25</v>
      </c>
      <c r="AE7" s="95">
        <v>26</v>
      </c>
      <c r="AF7" s="95">
        <v>27</v>
      </c>
      <c r="AG7" s="95">
        <v>28</v>
      </c>
      <c r="AH7" s="95">
        <v>29</v>
      </c>
      <c r="AI7" s="95">
        <v>30</v>
      </c>
      <c r="AJ7" s="95">
        <v>31</v>
      </c>
      <c r="AK7" s="95">
        <v>32</v>
      </c>
      <c r="AL7" s="95">
        <v>33</v>
      </c>
      <c r="AM7" s="95">
        <v>34</v>
      </c>
      <c r="AN7" s="95">
        <v>35</v>
      </c>
      <c r="AO7" s="95">
        <v>36</v>
      </c>
    </row>
    <row r="8" spans="1:41" x14ac:dyDescent="0.3">
      <c r="E8" s="94"/>
      <c r="F8" s="96">
        <f>EOMONTH(ASSUMPTION!G3,0)</f>
        <v>43951</v>
      </c>
      <c r="G8" s="96">
        <f>EOMONTH(F8,1)</f>
        <v>43982</v>
      </c>
      <c r="H8" s="96">
        <f t="shared" ref="H8:AO8" si="0">EOMONTH(G8,1)</f>
        <v>44012</v>
      </c>
      <c r="I8" s="96">
        <f t="shared" si="0"/>
        <v>44043</v>
      </c>
      <c r="J8" s="96">
        <f t="shared" si="0"/>
        <v>44074</v>
      </c>
      <c r="K8" s="96">
        <f t="shared" si="0"/>
        <v>44104</v>
      </c>
      <c r="L8" s="96">
        <f t="shared" si="0"/>
        <v>44135</v>
      </c>
      <c r="M8" s="96">
        <f t="shared" si="0"/>
        <v>44165</v>
      </c>
      <c r="N8" s="96">
        <f t="shared" si="0"/>
        <v>44196</v>
      </c>
      <c r="O8" s="96">
        <f t="shared" si="0"/>
        <v>44227</v>
      </c>
      <c r="P8" s="96">
        <f t="shared" si="0"/>
        <v>44255</v>
      </c>
      <c r="Q8" s="96">
        <f t="shared" si="0"/>
        <v>44286</v>
      </c>
      <c r="R8" s="96">
        <f t="shared" si="0"/>
        <v>44316</v>
      </c>
      <c r="S8" s="96">
        <f t="shared" si="0"/>
        <v>44347</v>
      </c>
      <c r="T8" s="96">
        <f t="shared" si="0"/>
        <v>44377</v>
      </c>
      <c r="U8" s="96">
        <f t="shared" si="0"/>
        <v>44408</v>
      </c>
      <c r="V8" s="96">
        <f t="shared" si="0"/>
        <v>44439</v>
      </c>
      <c r="W8" s="96">
        <f t="shared" si="0"/>
        <v>44469</v>
      </c>
      <c r="X8" s="96">
        <f t="shared" si="0"/>
        <v>44500</v>
      </c>
      <c r="Y8" s="96">
        <f t="shared" si="0"/>
        <v>44530</v>
      </c>
      <c r="Z8" s="96">
        <f t="shared" si="0"/>
        <v>44561</v>
      </c>
      <c r="AA8" s="96">
        <f t="shared" si="0"/>
        <v>44592</v>
      </c>
      <c r="AB8" s="96">
        <f t="shared" si="0"/>
        <v>44620</v>
      </c>
      <c r="AC8" s="96">
        <f t="shared" si="0"/>
        <v>44651</v>
      </c>
      <c r="AD8" s="96">
        <f t="shared" si="0"/>
        <v>44681</v>
      </c>
      <c r="AE8" s="96">
        <f t="shared" si="0"/>
        <v>44712</v>
      </c>
      <c r="AF8" s="96">
        <f t="shared" si="0"/>
        <v>44742</v>
      </c>
      <c r="AG8" s="96">
        <f t="shared" si="0"/>
        <v>44773</v>
      </c>
      <c r="AH8" s="96">
        <f t="shared" si="0"/>
        <v>44804</v>
      </c>
      <c r="AI8" s="96">
        <f t="shared" si="0"/>
        <v>44834</v>
      </c>
      <c r="AJ8" s="96">
        <f t="shared" si="0"/>
        <v>44865</v>
      </c>
      <c r="AK8" s="96">
        <f t="shared" si="0"/>
        <v>44895</v>
      </c>
      <c r="AL8" s="96">
        <f t="shared" si="0"/>
        <v>44926</v>
      </c>
      <c r="AM8" s="96">
        <f t="shared" si="0"/>
        <v>44957</v>
      </c>
      <c r="AN8" s="96">
        <f t="shared" si="0"/>
        <v>44985</v>
      </c>
      <c r="AO8" s="96">
        <f t="shared" si="0"/>
        <v>45016</v>
      </c>
    </row>
    <row r="9" spans="1:41" x14ac:dyDescent="0.3">
      <c r="A9" s="93" t="s">
        <v>119</v>
      </c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</row>
    <row r="10" spans="1:41" x14ac:dyDescent="0.3">
      <c r="A10" s="31" t="s">
        <v>12</v>
      </c>
      <c r="F10" s="98">
        <f>'MONTHLY REVENUE'!F78</f>
        <v>0</v>
      </c>
      <c r="G10" s="98">
        <f>'MONTHLY REVENUE'!G78</f>
        <v>0</v>
      </c>
      <c r="H10" s="98">
        <f>'MONTHLY REVENUE'!H78</f>
        <v>0</v>
      </c>
      <c r="I10" s="98">
        <f>'MONTHLY REVENUE'!I78</f>
        <v>6.3719999999999999</v>
      </c>
      <c r="J10" s="98">
        <f>'MONTHLY REVENUE'!J78</f>
        <v>6.8928800000000008</v>
      </c>
      <c r="K10" s="98">
        <f>'MONTHLY REVENUE'!K78</f>
        <v>6.5659232000000003</v>
      </c>
      <c r="L10" s="98">
        <f>'MONTHLY REVENUE'!L78</f>
        <v>7.1190656640000007</v>
      </c>
      <c r="M10" s="98">
        <f>'MONTHLY REVENUE'!M78</f>
        <v>7.1497326470400013</v>
      </c>
      <c r="N10" s="98">
        <f>'MONTHLY REVENUE'!N78</f>
        <v>7.3278903359104017</v>
      </c>
      <c r="O10" s="98">
        <f>'MONTHLY REVENUE'!O78</f>
        <v>7.9907901820572169</v>
      </c>
      <c r="P10" s="98">
        <f>'MONTHLY REVENUE'!P78</f>
        <v>7.1891116159028225</v>
      </c>
      <c r="Q10" s="98">
        <f>'MONTHLY REVENUE'!Q78</f>
        <v>7.9777787161942584</v>
      </c>
      <c r="R10" s="98">
        <f>'MONTHLY REVENUE'!R78</f>
        <v>8.0125046998851595</v>
      </c>
      <c r="S10" s="98">
        <f>'MONTHLY REVENUE'!S78</f>
        <v>9.0090107084465636</v>
      </c>
      <c r="T10" s="98">
        <f>'MONTHLY REVENUE'!T78</f>
        <v>8.4886750511071103</v>
      </c>
      <c r="U10" s="98">
        <f>'MONTHLY REVENUE'!U78</f>
        <v>9.7217774157967387</v>
      </c>
      <c r="V10" s="98">
        <f>'MONTHLY REVENUE'!V78</f>
        <v>10.014556368138194</v>
      </c>
      <c r="W10" s="98">
        <f>'MONTHLY REVENUE'!W78</f>
        <v>9.7261900479430405</v>
      </c>
      <c r="X10" s="98">
        <f>'MONTHLY REVENUE'!X78</f>
        <v>11.012648797590071</v>
      </c>
      <c r="Y10" s="98">
        <f>'MONTHLY REVENUE'!Y78</f>
        <v>10.313900166000515</v>
      </c>
      <c r="Z10" s="98">
        <f>'MONTHLY REVENUE'!Z78</f>
        <v>10.863564517722164</v>
      </c>
      <c r="AA10" s="98">
        <f>'MONTHLY REVENUE'!AA78</f>
        <v>12.077922939214561</v>
      </c>
      <c r="AB10" s="98">
        <f>'MONTHLY REVENUE'!AB78</f>
        <v>10.768955928648468</v>
      </c>
      <c r="AC10" s="98">
        <f>'MONTHLY REVENUE'!AC78</f>
        <v>11.867009436993111</v>
      </c>
      <c r="AD10" s="98">
        <f>'MONTHLY REVENUE'!AD78</f>
        <v>12.479619063966716</v>
      </c>
      <c r="AE10" s="98">
        <f>'MONTHLY REVENUE'!AE78</f>
        <v>13.135402473176917</v>
      </c>
      <c r="AF10" s="98">
        <f>'MONTHLY REVENUE'!AF78</f>
        <v>12.702598605303542</v>
      </c>
      <c r="AG10" s="98">
        <f>'MONTHLY REVENUE'!AG78</f>
        <v>15.291891556457688</v>
      </c>
      <c r="AH10" s="98">
        <f>'MONTHLY REVENUE'!AH78</f>
        <v>14.464293150969558</v>
      </c>
      <c r="AI10" s="98">
        <f>'MONTHLY REVENUE'!AI78</f>
        <v>14.603840681616774</v>
      </c>
      <c r="AJ10" s="98">
        <f>'MONTHLY REVENUE'!AJ78</f>
        <v>16.812535050041205</v>
      </c>
      <c r="AK10" s="98">
        <f>'MONTHLY REVENUE'!AK78</f>
        <v>15.521263972238746</v>
      </c>
      <c r="AL10" s="98">
        <f>'MONTHLY REVENUE'!AL78</f>
        <v>16.837653025958829</v>
      </c>
      <c r="AM10" s="98">
        <f>'MONTHLY REVENUE'!AM78</f>
        <v>16.978932836478005</v>
      </c>
      <c r="AN10" s="98">
        <f>'MONTHLY REVENUE'!AN78</f>
        <v>15.368950675643241</v>
      </c>
      <c r="AO10" s="98">
        <f>'MONTHLY REVENUE'!AO78</f>
        <v>16.52480704252952</v>
      </c>
    </row>
    <row r="11" spans="1:41" x14ac:dyDescent="0.3">
      <c r="A11" s="31" t="s">
        <v>13</v>
      </c>
      <c r="F11" s="98">
        <f>'MONTHLY REVENUE'!F79</f>
        <v>0</v>
      </c>
      <c r="G11" s="98">
        <f>'MONTHLY REVENUE'!G79</f>
        <v>0</v>
      </c>
      <c r="H11" s="98">
        <f>'MONTHLY REVENUE'!H79</f>
        <v>0</v>
      </c>
      <c r="I11" s="98">
        <f>'MONTHLY REVENUE'!I79</f>
        <v>3.1320000000000001</v>
      </c>
      <c r="J11" s="98">
        <f>'MONTHLY REVENUE'!J79</f>
        <v>3.2914400000000001</v>
      </c>
      <c r="K11" s="98">
        <f>'MONTHLY REVENUE'!K79</f>
        <v>3.2046752000000005</v>
      </c>
      <c r="L11" s="98">
        <f>'MONTHLY REVENUE'!L79</f>
        <v>3.4336045440000005</v>
      </c>
      <c r="M11" s="98">
        <f>'MONTHLY REVENUE'!M79</f>
        <v>3.4284072672000003</v>
      </c>
      <c r="N11" s="98">
        <f>'MONTHLY REVENUE'!N79</f>
        <v>3.5723543284096007</v>
      </c>
      <c r="O11" s="98">
        <f>'MONTHLY REVENUE'!O79</f>
        <v>3.7827009475079687</v>
      </c>
      <c r="P11" s="98">
        <f>'MONTHLY REVENUE'!P79</f>
        <v>3.450568316178289</v>
      </c>
      <c r="Q11" s="98">
        <f>'MONTHLY REVENUE'!Q79</f>
        <v>3.8696974054125528</v>
      </c>
      <c r="R11" s="98">
        <f>'MONTHLY REVENUE'!R79</f>
        <v>3.8649521603117858</v>
      </c>
      <c r="S11" s="98">
        <f>'MONTHLY REVENUE'!S79</f>
        <v>4.2350074612761688</v>
      </c>
      <c r="T11" s="98">
        <f>'MONTHLY REVENUE'!T79</f>
        <v>4.0806749214068958</v>
      </c>
      <c r="U11" s="98">
        <f>'MONTHLY REVENUE'!U79</f>
        <v>4.616746278918324</v>
      </c>
      <c r="V11" s="98">
        <f>'MONTHLY REVENUE'!V79</f>
        <v>4.7475107808389714</v>
      </c>
      <c r="W11" s="98">
        <f>'MONTHLY REVENUE'!W79</f>
        <v>4.6515087015638876</v>
      </c>
      <c r="X11" s="98">
        <f>'MONTHLY REVENUE'!X79</f>
        <v>5.1317866757178034</v>
      </c>
      <c r="Y11" s="98">
        <f>'MONTHLY REVENUE'!Y79</f>
        <v>4.9155405734003388</v>
      </c>
      <c r="Z11" s="98">
        <f>'MONTHLY REVENUE'!Z79</f>
        <v>5.1890766338211698</v>
      </c>
      <c r="AA11" s="98">
        <f>'MONTHLY REVENUE'!AA79</f>
        <v>5.5987666610905</v>
      </c>
      <c r="AB11" s="98">
        <f>'MONTHLY REVENUE'!AB79</f>
        <v>5.0621458862737576</v>
      </c>
      <c r="AC11" s="98">
        <f>'MONTHLY REVENUE'!AC79</f>
        <v>5.6389680933727613</v>
      </c>
      <c r="AD11" s="98">
        <f>'MONTHLY REVENUE'!AD79</f>
        <v>5.8095442429473465</v>
      </c>
      <c r="AE11" s="98">
        <f>'MONTHLY REVENUE'!AE79</f>
        <v>6.1297740339575633</v>
      </c>
      <c r="AF11" s="98">
        <f>'MONTHLY REVENUE'!AF79</f>
        <v>5.9805848577081377</v>
      </c>
      <c r="AG11" s="98">
        <f>'MONTHLY REVENUE'!AG79</f>
        <v>7.0150940035770262</v>
      </c>
      <c r="AH11" s="98">
        <f>'MONTHLY REVENUE'!AH79</f>
        <v>6.8134632267791453</v>
      </c>
      <c r="AI11" s="98">
        <f>'MONTHLY REVENUE'!AI79</f>
        <v>6.8397198901428471</v>
      </c>
      <c r="AJ11" s="98">
        <f>'MONTHLY REVENUE'!AJ79</f>
        <v>7.6729399979321933</v>
      </c>
      <c r="AK11" s="98">
        <f>'MONTHLY REVENUE'!AK79</f>
        <v>7.2439934110576987</v>
      </c>
      <c r="AL11" s="98">
        <f>'MONTHLY REVENUE'!AL79</f>
        <v>7.7828888926110498</v>
      </c>
      <c r="AM11" s="98">
        <f>'MONTHLY REVENUE'!AM79</f>
        <v>7.862143420463271</v>
      </c>
      <c r="AN11" s="98">
        <f>'MONTHLY REVENUE'!AN79</f>
        <v>7.1437186717023051</v>
      </c>
      <c r="AO11" s="98">
        <f>'MONTHLY REVENUE'!AO79</f>
        <v>7.7921259019068048</v>
      </c>
    </row>
    <row r="12" spans="1:41" x14ac:dyDescent="0.3">
      <c r="A12" s="31" t="s">
        <v>120</v>
      </c>
      <c r="F12" s="98">
        <f>'MONTHLY REVENUE'!F80</f>
        <v>0</v>
      </c>
      <c r="G12" s="98">
        <f>'MONTHLY REVENUE'!G80</f>
        <v>0</v>
      </c>
      <c r="H12" s="98">
        <f>'MONTHLY REVENUE'!H80</f>
        <v>0</v>
      </c>
      <c r="I12" s="98">
        <f>'MONTHLY REVENUE'!I80</f>
        <v>15.06</v>
      </c>
      <c r="J12" s="98">
        <f>'MONTHLY REVENUE'!J80</f>
        <v>15.677200000000003</v>
      </c>
      <c r="K12" s="98">
        <f>'MONTHLY REVENUE'!K80</f>
        <v>15.374416000000002</v>
      </c>
      <c r="L12" s="98">
        <f>'MONTHLY REVENUE'!L80</f>
        <v>16.408739520000001</v>
      </c>
      <c r="M12" s="98">
        <f>'MONTHLY REVENUE'!M80</f>
        <v>16.352381808000004</v>
      </c>
      <c r="N12" s="98">
        <f>'MONTHLY REVENUE'!N80</f>
        <v>17.131779900608002</v>
      </c>
      <c r="O12" s="98">
        <f>'MONTHLY REVENUE'!O80</f>
        <v>17.964515473667841</v>
      </c>
      <c r="P12" s="98">
        <f>'MONTHLY REVENUE'!P80</f>
        <v>16.463282513349942</v>
      </c>
      <c r="Q12" s="98">
        <f>'MONTHLY REVENUE'!Q80</f>
        <v>18.527345596819597</v>
      </c>
      <c r="R12" s="98">
        <f>'MONTHLY REVENUE'!R80</f>
        <v>18.470773714106041</v>
      </c>
      <c r="S12" s="98">
        <f>'MONTHLY REVENUE'!S80</f>
        <v>20.064854092692084</v>
      </c>
      <c r="T12" s="98">
        <f>'MONTHLY REVENUE'!T80</f>
        <v>19.479702173245432</v>
      </c>
      <c r="U12" s="98">
        <f>'MONTHLY REVENUE'!U80</f>
        <v>21.94899980968178</v>
      </c>
      <c r="V12" s="98">
        <f>'MONTHLY REVENUE'!V80</f>
        <v>22.557433055888616</v>
      </c>
      <c r="W12" s="98">
        <f>'MONTHLY REVENUE'!W80</f>
        <v>22.166587345829672</v>
      </c>
      <c r="X12" s="98">
        <f>'MONTHLY REVENUE'!X80</f>
        <v>24.240690368002319</v>
      </c>
      <c r="Y12" s="98">
        <f>'MONTHLY REVENUE'!Y80</f>
        <v>23.397724682193562</v>
      </c>
      <c r="Z12" s="98">
        <f>'MONTHLY REVENUE'!Z80</f>
        <v>24.718205856905389</v>
      </c>
      <c r="AA12" s="98">
        <f>'MONTHLY REVENUE'!AA80</f>
        <v>26.398502799591906</v>
      </c>
      <c r="AB12" s="98">
        <f>'MONTHLY REVENUE'!AB80</f>
        <v>23.983414450492777</v>
      </c>
      <c r="AC12" s="98">
        <f>'MONTHLY REVENUE'!AC80</f>
        <v>26.814432886752751</v>
      </c>
      <c r="AD12" s="98">
        <f>'MONTHLY REVENUE'!AD80</f>
        <v>27.432644346006796</v>
      </c>
      <c r="AE12" s="98">
        <f>'MONTHLY REVENUE'!AE80</f>
        <v>28.969190226308683</v>
      </c>
      <c r="AF12" s="98">
        <f>'MONTHLY REVENUE'!AF80</f>
        <v>28.350153496346643</v>
      </c>
      <c r="AG12" s="98">
        <f>'MONTHLY REVENUE'!AG80</f>
        <v>32.955937886540262</v>
      </c>
      <c r="AH12" s="98">
        <f>'MONTHLY REVENUE'!AH80</f>
        <v>32.3038654006168</v>
      </c>
      <c r="AI12" s="98">
        <f>'MONTHLY REVENUE'!AI80</f>
        <v>32.36461068810415</v>
      </c>
      <c r="AJ12" s="98">
        <f>'MONTHLY REVENUE'!AJ80</f>
        <v>35.980514598267852</v>
      </c>
      <c r="AK12" s="98">
        <f>'MONTHLY REVENUE'!AK80</f>
        <v>34.236324809649432</v>
      </c>
      <c r="AL12" s="98">
        <f>'MONTHLY REVENUE'!AL80</f>
        <v>36.681881963055247</v>
      </c>
      <c r="AM12" s="98">
        <f>'MONTHLY REVENUE'!AM80</f>
        <v>37.078154602316353</v>
      </c>
      <c r="AN12" s="98">
        <f>'MONTHLY REVENUE'!AN80</f>
        <v>33.734093358511529</v>
      </c>
      <c r="AO12" s="98">
        <f>'MONTHLY REVENUE'!AO80</f>
        <v>36.976129509534026</v>
      </c>
    </row>
    <row r="13" spans="1:41" s="130" customFormat="1" x14ac:dyDescent="0.3">
      <c r="A13" s="128" t="s">
        <v>114</v>
      </c>
      <c r="F13" s="129">
        <f>'MONTHLY REVENUE'!F81</f>
        <v>0</v>
      </c>
      <c r="G13" s="129">
        <f>'MONTHLY REVENUE'!G81</f>
        <v>0</v>
      </c>
      <c r="H13" s="129">
        <f>'MONTHLY REVENUE'!H81</f>
        <v>0</v>
      </c>
      <c r="I13" s="129">
        <f>'MONTHLY REVENUE'!I81</f>
        <v>24.564</v>
      </c>
      <c r="J13" s="129">
        <f>'MONTHLY REVENUE'!J81</f>
        <v>25.861520000000006</v>
      </c>
      <c r="K13" s="129">
        <f>'MONTHLY REVENUE'!K81</f>
        <v>25.145014400000001</v>
      </c>
      <c r="L13" s="129">
        <f>'MONTHLY REVENUE'!L81</f>
        <v>26.961409728000003</v>
      </c>
      <c r="M13" s="129">
        <f>'MONTHLY REVENUE'!M81</f>
        <v>26.930521722240005</v>
      </c>
      <c r="N13" s="129">
        <f>'MONTHLY REVENUE'!N81</f>
        <v>28.032024564928005</v>
      </c>
      <c r="O13" s="129">
        <f>'MONTHLY REVENUE'!O81</f>
        <v>29.738006603233025</v>
      </c>
      <c r="P13" s="129">
        <f>'MONTHLY REVENUE'!P81</f>
        <v>27.102962445431054</v>
      </c>
      <c r="Q13" s="129">
        <f>'MONTHLY REVENUE'!Q81</f>
        <v>30.374821718426407</v>
      </c>
      <c r="R13" s="129">
        <f>'MONTHLY REVENUE'!R81</f>
        <v>30.348230574302988</v>
      </c>
      <c r="S13" s="129">
        <f>'MONTHLY REVENUE'!S81</f>
        <v>33.308872262414816</v>
      </c>
      <c r="T13" s="129">
        <f>'MONTHLY REVENUE'!T81</f>
        <v>32.04905214575944</v>
      </c>
      <c r="U13" s="129">
        <f>'MONTHLY REVENUE'!U81</f>
        <v>36.287523504396844</v>
      </c>
      <c r="V13" s="129">
        <f>'MONTHLY REVENUE'!V81</f>
        <v>37.319500204865783</v>
      </c>
      <c r="W13" s="129">
        <f>'MONTHLY REVENUE'!W81</f>
        <v>36.544286095336602</v>
      </c>
      <c r="X13" s="129">
        <f>'MONTHLY REVENUE'!X81</f>
        <v>40.385125841310192</v>
      </c>
      <c r="Y13" s="129">
        <f>'MONTHLY REVENUE'!Y81</f>
        <v>38.627165421594412</v>
      </c>
      <c r="Z13" s="129">
        <f>'MONTHLY REVENUE'!Z81</f>
        <v>40.770847008448726</v>
      </c>
      <c r="AA13" s="129">
        <f>'MONTHLY REVENUE'!AA81</f>
        <v>44.075192399896963</v>
      </c>
      <c r="AB13" s="129">
        <f>'MONTHLY REVENUE'!AB81</f>
        <v>39.814516265415001</v>
      </c>
      <c r="AC13" s="129">
        <f>'MONTHLY REVENUE'!AC81</f>
        <v>44.320410417118623</v>
      </c>
      <c r="AD13" s="129">
        <f>'MONTHLY REVENUE'!AD81</f>
        <v>45.721807652920859</v>
      </c>
      <c r="AE13" s="129">
        <f>'MONTHLY REVENUE'!AE81</f>
        <v>48.234366733443167</v>
      </c>
      <c r="AF13" s="129">
        <f>'MONTHLY REVENUE'!AF81</f>
        <v>47.033336959358323</v>
      </c>
      <c r="AG13" s="129">
        <f>'MONTHLY REVENUE'!AG81</f>
        <v>55.262923446574973</v>
      </c>
      <c r="AH13" s="129">
        <f>'MONTHLY REVENUE'!AH81</f>
        <v>53.581621778365502</v>
      </c>
      <c r="AI13" s="129">
        <f>'MONTHLY REVENUE'!AI81</f>
        <v>53.808171259863769</v>
      </c>
      <c r="AJ13" s="129">
        <f>'MONTHLY REVENUE'!AJ81</f>
        <v>60.465989646241255</v>
      </c>
      <c r="AK13" s="129">
        <f>'MONTHLY REVENUE'!AK81</f>
        <v>57.001582192945875</v>
      </c>
      <c r="AL13" s="129">
        <f>'MONTHLY REVENUE'!AL81</f>
        <v>61.302423881625124</v>
      </c>
      <c r="AM13" s="129">
        <f>'MONTHLY REVENUE'!AM81</f>
        <v>61.919230859257631</v>
      </c>
      <c r="AN13" s="129">
        <f>'MONTHLY REVENUE'!AN81</f>
        <v>56.24676270585708</v>
      </c>
      <c r="AO13" s="129">
        <f>'MONTHLY REVENUE'!AO81</f>
        <v>61.29306245397035</v>
      </c>
    </row>
    <row r="15" spans="1:41" x14ac:dyDescent="0.3">
      <c r="A15" s="71" t="s">
        <v>121</v>
      </c>
    </row>
    <row r="16" spans="1:41" x14ac:dyDescent="0.3">
      <c r="A16" t="str">
        <f>ASSUMPTION!A25</f>
        <v>Alcoholic Beverage cost (% of revenue)</v>
      </c>
      <c r="F16" s="98">
        <f>F10*ASSUMPTION!$G25/DEN</f>
        <v>0</v>
      </c>
      <c r="G16" s="98">
        <f>G10*ASSUMPTION!$G25/DEN</f>
        <v>0</v>
      </c>
      <c r="H16" s="98">
        <f>H10*ASSUMPTION!$G25/DEN</f>
        <v>0</v>
      </c>
      <c r="I16" s="98">
        <f>I10*ASSUMPTION!$G25</f>
        <v>2.2302</v>
      </c>
      <c r="J16" s="98">
        <f>J10*ASSUMPTION!$G25</f>
        <v>2.4125080000000003</v>
      </c>
      <c r="K16" s="98">
        <f>K10*ASSUMPTION!$G25</f>
        <v>2.2980731199999997</v>
      </c>
      <c r="L16" s="98">
        <f>L10*ASSUMPTION!$G25</f>
        <v>2.4916729823999999</v>
      </c>
      <c r="M16" s="98">
        <f>M10*ASSUMPTION!$G25</f>
        <v>2.5024064264640002</v>
      </c>
      <c r="N16" s="98">
        <f>N10*ASSUMPTION!$G25</f>
        <v>2.5647616175686405</v>
      </c>
      <c r="O16" s="98">
        <f>O10*ASSUMPTION!$G25</f>
        <v>2.7967765637200257</v>
      </c>
      <c r="P16" s="98">
        <f>P10*ASSUMPTION!$G25</f>
        <v>2.5161890655659875</v>
      </c>
      <c r="Q16" s="98">
        <f>Q10*ASSUMPTION!$G25</f>
        <v>2.7922225506679901</v>
      </c>
      <c r="R16" s="98">
        <f>R10*ASSUMPTION!$G25</f>
        <v>2.8043766449598055</v>
      </c>
      <c r="S16" s="98">
        <f>S10*ASSUMPTION!$G25</f>
        <v>3.153153747956297</v>
      </c>
      <c r="T16" s="98">
        <f>T10*ASSUMPTION!$G25</f>
        <v>2.9710362678874884</v>
      </c>
      <c r="U16" s="98">
        <f>U10*ASSUMPTION!$G25</f>
        <v>3.4026220955288582</v>
      </c>
      <c r="V16" s="98">
        <f>V10*ASSUMPTION!$G25</f>
        <v>3.5050947288483676</v>
      </c>
      <c r="W16" s="98">
        <f>W10*ASSUMPTION!$G25</f>
        <v>3.4041665167800641</v>
      </c>
      <c r="X16" s="98">
        <f>X10*ASSUMPTION!$G25</f>
        <v>3.8544270791565247</v>
      </c>
      <c r="Y16" s="98">
        <f>Y10*ASSUMPTION!$G25</f>
        <v>3.6098650581001799</v>
      </c>
      <c r="Z16" s="98">
        <f>Z10*ASSUMPTION!$G25</f>
        <v>3.802247581202757</v>
      </c>
      <c r="AA16" s="98">
        <f>AA10*ASSUMPTION!$G25</f>
        <v>4.2272730287250964</v>
      </c>
      <c r="AB16" s="98">
        <f>AB10*ASSUMPTION!$G25</f>
        <v>3.7691345750269636</v>
      </c>
      <c r="AC16" s="98">
        <f>AC10*ASSUMPTION!$G25</f>
        <v>4.1534533029475886</v>
      </c>
      <c r="AD16" s="98">
        <f>AD10*ASSUMPTION!$G25</f>
        <v>4.3678666723883506</v>
      </c>
      <c r="AE16" s="98">
        <f>AE10*ASSUMPTION!$G25</f>
        <v>4.5973908656119207</v>
      </c>
      <c r="AF16" s="98">
        <f>AF10*ASSUMPTION!$G25</f>
        <v>4.4459095118562395</v>
      </c>
      <c r="AG16" s="98">
        <f>AG10*ASSUMPTION!$G25</f>
        <v>5.352162044760191</v>
      </c>
      <c r="AH16" s="98">
        <f>AH10*ASSUMPTION!$G25</f>
        <v>5.0625026028393449</v>
      </c>
      <c r="AI16" s="98">
        <f>AI10*ASSUMPTION!$G25</f>
        <v>5.1113442385658701</v>
      </c>
      <c r="AJ16" s="98">
        <f>AJ10*ASSUMPTION!$G25</f>
        <v>5.8843872675144215</v>
      </c>
      <c r="AK16" s="98">
        <f>AK10*ASSUMPTION!$G25</f>
        <v>5.432442390283561</v>
      </c>
      <c r="AL16" s="98">
        <f>AL10*ASSUMPTION!$G25</f>
        <v>5.8931785590855901</v>
      </c>
      <c r="AM16" s="98">
        <f>AM10*ASSUMPTION!$G25</f>
        <v>5.9426264927673014</v>
      </c>
      <c r="AN16" s="98">
        <f>AN10*ASSUMPTION!$G25</f>
        <v>5.3791327364751336</v>
      </c>
      <c r="AO16" s="98">
        <f>AO10*ASSUMPTION!$G25</f>
        <v>5.7836824648853318</v>
      </c>
    </row>
    <row r="17" spans="1:41" x14ac:dyDescent="0.3">
      <c r="A17" t="str">
        <f>ASSUMPTION!A26</f>
        <v>Non Alcoholic Beverages (% of revenue)</v>
      </c>
      <c r="F17" s="98">
        <f>F11*ASSUMPTION!$G26/DEN</f>
        <v>0</v>
      </c>
      <c r="G17" s="98">
        <f>G11*ASSUMPTION!$G26/DEN</f>
        <v>0</v>
      </c>
      <c r="H17" s="98">
        <f>H11*ASSUMPTION!$G26/DEN</f>
        <v>0</v>
      </c>
      <c r="I17" s="98">
        <f>I11*ASSUMPTION!$G26</f>
        <v>1.2528000000000001</v>
      </c>
      <c r="J17" s="98">
        <f>J11*ASSUMPTION!$G26</f>
        <v>1.3165760000000002</v>
      </c>
      <c r="K17" s="98">
        <f>K11*ASSUMPTION!$G26</f>
        <v>1.2818700800000002</v>
      </c>
      <c r="L17" s="98">
        <f>L11*ASSUMPTION!$G26</f>
        <v>1.3734418176000003</v>
      </c>
      <c r="M17" s="98">
        <f>M11*ASSUMPTION!$G26</f>
        <v>1.3713629068800002</v>
      </c>
      <c r="N17" s="98">
        <f>N11*ASSUMPTION!$G26</f>
        <v>1.4289417313638404</v>
      </c>
      <c r="O17" s="98">
        <f>O11*ASSUMPTION!$G26</f>
        <v>1.5130803790031875</v>
      </c>
      <c r="P17" s="98">
        <f>P11*ASSUMPTION!$G26</f>
        <v>1.3802273264713156</v>
      </c>
      <c r="Q17" s="98">
        <f>Q11*ASSUMPTION!$G26</f>
        <v>1.5478789621650213</v>
      </c>
      <c r="R17" s="98">
        <f>R11*ASSUMPTION!$G26</f>
        <v>1.5459808641247144</v>
      </c>
      <c r="S17" s="98">
        <f>S11*ASSUMPTION!$G26</f>
        <v>1.6940029845104676</v>
      </c>
      <c r="T17" s="98">
        <f>T11*ASSUMPTION!$G26</f>
        <v>1.6322699685627584</v>
      </c>
      <c r="U17" s="98">
        <f>U11*ASSUMPTION!$G26</f>
        <v>1.8466985115673298</v>
      </c>
      <c r="V17" s="98">
        <f>V11*ASSUMPTION!$G26</f>
        <v>1.8990043123355886</v>
      </c>
      <c r="W17" s="98">
        <f>W11*ASSUMPTION!$G26</f>
        <v>1.8606034806255551</v>
      </c>
      <c r="X17" s="98">
        <f>X11*ASSUMPTION!$G26</f>
        <v>2.0527146702871213</v>
      </c>
      <c r="Y17" s="98">
        <f>Y11*ASSUMPTION!$G26</f>
        <v>1.9662162293601355</v>
      </c>
      <c r="Z17" s="98">
        <f>Z11*ASSUMPTION!$G26</f>
        <v>2.0756306535284681</v>
      </c>
      <c r="AA17" s="98">
        <f>AA11*ASSUMPTION!$G26</f>
        <v>2.2395066644362003</v>
      </c>
      <c r="AB17" s="98">
        <f>AB11*ASSUMPTION!$G26</f>
        <v>2.0248583545095031</v>
      </c>
      <c r="AC17" s="98">
        <f>AC11*ASSUMPTION!$G26</f>
        <v>2.2555872373491046</v>
      </c>
      <c r="AD17" s="98">
        <f>AD11*ASSUMPTION!$G26</f>
        <v>2.3238176971789386</v>
      </c>
      <c r="AE17" s="98">
        <f>AE11*ASSUMPTION!$G26</f>
        <v>2.4519096135830254</v>
      </c>
      <c r="AF17" s="98">
        <f>AF11*ASSUMPTION!$G26</f>
        <v>2.3922339430832551</v>
      </c>
      <c r="AG17" s="98">
        <f>AG11*ASSUMPTION!$G26</f>
        <v>2.8060376014308108</v>
      </c>
      <c r="AH17" s="98">
        <f>AH11*ASSUMPTION!$G26</f>
        <v>2.7253852907116585</v>
      </c>
      <c r="AI17" s="98">
        <f>AI11*ASSUMPTION!$G26</f>
        <v>2.7358879560571392</v>
      </c>
      <c r="AJ17" s="98">
        <f>AJ11*ASSUMPTION!$G26</f>
        <v>3.0691759991728773</v>
      </c>
      <c r="AK17" s="98">
        <f>AK11*ASSUMPTION!$G26</f>
        <v>2.8975973644230795</v>
      </c>
      <c r="AL17" s="98">
        <f>AL11*ASSUMPTION!$G26</f>
        <v>3.1131555570444203</v>
      </c>
      <c r="AM17" s="98">
        <f>AM11*ASSUMPTION!$G26</f>
        <v>3.1448573681853085</v>
      </c>
      <c r="AN17" s="98">
        <f>AN11*ASSUMPTION!$G26</f>
        <v>2.8574874686809224</v>
      </c>
      <c r="AO17" s="98">
        <f>AO11*ASSUMPTION!$G26</f>
        <v>3.1168503607627223</v>
      </c>
    </row>
    <row r="18" spans="1:41" x14ac:dyDescent="0.3">
      <c r="A18" t="str">
        <f>ASSUMPTION!A27</f>
        <v>Food (% of revenue)</v>
      </c>
      <c r="F18" s="98">
        <f>F12*ASSUMPTION!$G27/DEN</f>
        <v>0</v>
      </c>
      <c r="G18" s="98">
        <f>G12*ASSUMPTION!$G27/DEN</f>
        <v>0</v>
      </c>
      <c r="H18" s="98">
        <f>H12*ASSUMPTION!$G27/DEN</f>
        <v>0</v>
      </c>
      <c r="I18" s="98">
        <f>I12*ASSUMPTION!$G27</f>
        <v>4.5179999999999998</v>
      </c>
      <c r="J18" s="98">
        <f>J12*ASSUMPTION!$G27</f>
        <v>4.7031600000000005</v>
      </c>
      <c r="K18" s="98">
        <f>K12*ASSUMPTION!$G27</f>
        <v>4.6123248000000006</v>
      </c>
      <c r="L18" s="98">
        <f>L12*ASSUMPTION!$G27</f>
        <v>4.9226218560000001</v>
      </c>
      <c r="M18" s="98">
        <f>M12*ASSUMPTION!$G27</f>
        <v>4.905714542400001</v>
      </c>
      <c r="N18" s="98">
        <f>N12*ASSUMPTION!$G27</f>
        <v>5.1395339701824003</v>
      </c>
      <c r="O18" s="98">
        <f>O12*ASSUMPTION!$G27</f>
        <v>5.3893546421003524</v>
      </c>
      <c r="P18" s="98">
        <f>P12*ASSUMPTION!$G27</f>
        <v>4.9389847540049825</v>
      </c>
      <c r="Q18" s="98">
        <f>Q12*ASSUMPTION!$G27</f>
        <v>5.5582036790458789</v>
      </c>
      <c r="R18" s="98">
        <f>R12*ASSUMPTION!$G27</f>
        <v>5.5412321142318124</v>
      </c>
      <c r="S18" s="98">
        <f>S12*ASSUMPTION!$G27</f>
        <v>6.0194562278076251</v>
      </c>
      <c r="T18" s="98">
        <f>T12*ASSUMPTION!$G27</f>
        <v>5.843910651973629</v>
      </c>
      <c r="U18" s="98">
        <f>U12*ASSUMPTION!$G27</f>
        <v>6.5846999429045336</v>
      </c>
      <c r="V18" s="98">
        <f>V12*ASSUMPTION!$G27</f>
        <v>6.7672299167665848</v>
      </c>
      <c r="W18" s="98">
        <f>W12*ASSUMPTION!$G27</f>
        <v>6.6499762037489019</v>
      </c>
      <c r="X18" s="98">
        <f>X12*ASSUMPTION!$G27</f>
        <v>7.2722071104006956</v>
      </c>
      <c r="Y18" s="98">
        <f>Y12*ASSUMPTION!$G27</f>
        <v>7.0193174046580689</v>
      </c>
      <c r="Z18" s="98">
        <f>Z12*ASSUMPTION!$G27</f>
        <v>7.4154617570716166</v>
      </c>
      <c r="AA18" s="98">
        <f>AA12*ASSUMPTION!$G27</f>
        <v>7.9195508398775711</v>
      </c>
      <c r="AB18" s="98">
        <f>AB12*ASSUMPTION!$G27</f>
        <v>7.1950243351478331</v>
      </c>
      <c r="AC18" s="98">
        <f>AC12*ASSUMPTION!$G27</f>
        <v>8.0443298660258247</v>
      </c>
      <c r="AD18" s="98">
        <f>AD12*ASSUMPTION!$G27</f>
        <v>8.2297933038020386</v>
      </c>
      <c r="AE18" s="98">
        <f>AE12*ASSUMPTION!$G27</f>
        <v>8.6907570678926049</v>
      </c>
      <c r="AF18" s="98">
        <f>AF12*ASSUMPTION!$G27</f>
        <v>8.5050460489039921</v>
      </c>
      <c r="AG18" s="98">
        <f>AG12*ASSUMPTION!$G27</f>
        <v>9.8867813659620776</v>
      </c>
      <c r="AH18" s="98">
        <f>AH12*ASSUMPTION!$G27</f>
        <v>9.6911596201850401</v>
      </c>
      <c r="AI18" s="98">
        <f>AI12*ASSUMPTION!$G27</f>
        <v>9.7093832064312444</v>
      </c>
      <c r="AJ18" s="98">
        <f>AJ12*ASSUMPTION!$G27</f>
        <v>10.794154379480355</v>
      </c>
      <c r="AK18" s="98">
        <f>AK12*ASSUMPTION!$G27</f>
        <v>10.27089744289483</v>
      </c>
      <c r="AL18" s="98">
        <f>AL12*ASSUMPTION!$G27</f>
        <v>11.004564588916574</v>
      </c>
      <c r="AM18" s="98">
        <f>AM12*ASSUMPTION!$G27</f>
        <v>11.123446380694906</v>
      </c>
      <c r="AN18" s="98">
        <f>AN12*ASSUMPTION!$G27</f>
        <v>10.120228007553459</v>
      </c>
      <c r="AO18" s="98">
        <f>AO12*ASSUMPTION!$G27</f>
        <v>11.092838852860208</v>
      </c>
    </row>
    <row r="19" spans="1:41" x14ac:dyDescent="0.3">
      <c r="A19" t="s">
        <v>122</v>
      </c>
      <c r="F19" s="98">
        <f>IF(MOD(F7,12)=4,MAX(ASSUMPTION!$G$40/DEN,'MONTHLY P&amp;L'!E19*(1+ASSUMPTION!$G$41)),'MONTHLY P&amp;L'!E19)</f>
        <v>0</v>
      </c>
      <c r="G19" s="98">
        <f>IF(MOD(G7,12)=4,MAX(ASSUMPTION!$G$40/DEN,'MONTHLY P&amp;L'!F19*(1+ASSUMPTION!$G$41)),'MONTHLY P&amp;L'!F19)</f>
        <v>0</v>
      </c>
      <c r="H19" s="98">
        <f>IF(MOD(H7,12)=4,MAX(ASSUMPTION!$G$40/DEN,'MONTHLY P&amp;L'!G19*(1+ASSUMPTION!$G$41)),'MONTHLY P&amp;L'!G19)</f>
        <v>0</v>
      </c>
      <c r="I19" s="98">
        <f>IF(MOD(I7,12)=4,MAX(ASSUMPTION!$G$40/DEN,'MONTHLY P&amp;L'!H19*(1+ASSUMPTION!$G$41)),'MONTHLY P&amp;L'!H19)</f>
        <v>9.86</v>
      </c>
      <c r="J19" s="98">
        <f>IF(MOD(J7,12)=4,MAX(ASSUMPTION!$G$40/DEN,'MONTHLY P&amp;L'!I19*(1+ASSUMPTION!$G$41)),'MONTHLY P&amp;L'!I19)</f>
        <v>9.86</v>
      </c>
      <c r="K19" s="98">
        <f>IF(MOD(K7,12)=4,MAX(ASSUMPTION!$G$40/DEN,'MONTHLY P&amp;L'!J19*(1+ASSUMPTION!$G$41)),'MONTHLY P&amp;L'!J19)</f>
        <v>9.86</v>
      </c>
      <c r="L19" s="98">
        <f>IF(MOD(L7,12)=4,MAX(ASSUMPTION!$G$40/DEN,'MONTHLY P&amp;L'!K19*(1+ASSUMPTION!$G$41)),'MONTHLY P&amp;L'!K19)</f>
        <v>9.86</v>
      </c>
      <c r="M19" s="98">
        <f>IF(MOD(M7,12)=4,MAX(ASSUMPTION!$G$40/DEN,'MONTHLY P&amp;L'!L19*(1+ASSUMPTION!$G$41)),'MONTHLY P&amp;L'!L19)</f>
        <v>9.86</v>
      </c>
      <c r="N19" s="98">
        <f>IF(MOD(N7,12)=4,MAX(ASSUMPTION!$G$40/DEN,'MONTHLY P&amp;L'!M19*(1+ASSUMPTION!$G$41)),'MONTHLY P&amp;L'!M19)</f>
        <v>9.86</v>
      </c>
      <c r="O19" s="98">
        <f>IF(MOD(O7,12)=4,MAX(ASSUMPTION!$G$40/DEN,'MONTHLY P&amp;L'!N19*(1+ASSUMPTION!$G$41)),'MONTHLY P&amp;L'!N19)</f>
        <v>9.86</v>
      </c>
      <c r="P19" s="98">
        <f>IF(MOD(P7,12)=4,MAX(ASSUMPTION!$G$40/DEN,'MONTHLY P&amp;L'!O19*(1+ASSUMPTION!$G$41)),'MONTHLY P&amp;L'!O19)</f>
        <v>9.86</v>
      </c>
      <c r="Q19" s="98">
        <f>IF(MOD(Q7,12)=4,MAX(ASSUMPTION!$G$40/DEN,'MONTHLY P&amp;L'!P19*(1+ASSUMPTION!$G$41)),'MONTHLY P&amp;L'!P19)</f>
        <v>9.86</v>
      </c>
      <c r="R19" s="98">
        <f>IF(MOD(R7,12)=4,MAX(ASSUMPTION!$G$40/DEN,'MONTHLY P&amp;L'!Q19*(1+ASSUMPTION!$G$41)),'MONTHLY P&amp;L'!Q19)</f>
        <v>9.86</v>
      </c>
      <c r="S19" s="98">
        <f>IF(MOD(S7,12)=4,MAX(ASSUMPTION!$G$40/DEN,'MONTHLY P&amp;L'!R19*(1+ASSUMPTION!$G$41)),'MONTHLY P&amp;L'!R19)</f>
        <v>9.86</v>
      </c>
      <c r="T19" s="98">
        <f>IF(MOD(T7,12)=4,MAX(ASSUMPTION!$G$40/DEN,'MONTHLY P&amp;L'!S19*(1+ASSUMPTION!$G$41)),'MONTHLY P&amp;L'!S19)</f>
        <v>9.86</v>
      </c>
      <c r="U19" s="98">
        <f>IF(MOD(U7,12)=4,MAX(ASSUMPTION!$G$40/DEN,'MONTHLY P&amp;L'!T19*(1+ASSUMPTION!$G$41)),'MONTHLY P&amp;L'!T19)</f>
        <v>10.6488</v>
      </c>
      <c r="V19" s="98">
        <f>IF(MOD(V7,12)=4,MAX(ASSUMPTION!$G$40/DEN,'MONTHLY P&amp;L'!U19*(1+ASSUMPTION!$G$41)),'MONTHLY P&amp;L'!U19)</f>
        <v>10.6488</v>
      </c>
      <c r="W19" s="98">
        <f>IF(MOD(W7,12)=4,MAX(ASSUMPTION!$G$40/DEN,'MONTHLY P&amp;L'!V19*(1+ASSUMPTION!$G$41)),'MONTHLY P&amp;L'!V19)</f>
        <v>10.6488</v>
      </c>
      <c r="X19" s="98">
        <f>IF(MOD(X7,12)=4,MAX(ASSUMPTION!$G$40/DEN,'MONTHLY P&amp;L'!W19*(1+ASSUMPTION!$G$41)),'MONTHLY P&amp;L'!W19)</f>
        <v>10.6488</v>
      </c>
      <c r="Y19" s="98">
        <f>IF(MOD(Y7,12)=4,MAX(ASSUMPTION!$G$40/DEN,'MONTHLY P&amp;L'!X19*(1+ASSUMPTION!$G$41)),'MONTHLY P&amp;L'!X19)</f>
        <v>10.6488</v>
      </c>
      <c r="Z19" s="98">
        <f>IF(MOD(Z7,12)=4,MAX(ASSUMPTION!$G$40/DEN,'MONTHLY P&amp;L'!Y19*(1+ASSUMPTION!$G$41)),'MONTHLY P&amp;L'!Y19)</f>
        <v>10.6488</v>
      </c>
      <c r="AA19" s="98">
        <f>IF(MOD(AA7,12)=4,MAX(ASSUMPTION!$G$40/DEN,'MONTHLY P&amp;L'!Z19*(1+ASSUMPTION!$G$41)),'MONTHLY P&amp;L'!Z19)</f>
        <v>10.6488</v>
      </c>
      <c r="AB19" s="98">
        <f>IF(MOD(AB7,12)=4,MAX(ASSUMPTION!$G$40/DEN,'MONTHLY P&amp;L'!AA19*(1+ASSUMPTION!$G$41)),'MONTHLY P&amp;L'!AA19)</f>
        <v>10.6488</v>
      </c>
      <c r="AC19" s="98">
        <f>IF(MOD(AC7,12)=4,MAX(ASSUMPTION!$G$40/DEN,'MONTHLY P&amp;L'!AB19*(1+ASSUMPTION!$G$41)),'MONTHLY P&amp;L'!AB19)</f>
        <v>10.6488</v>
      </c>
      <c r="AD19" s="98">
        <f>IF(MOD(AD7,12)=4,MAX(ASSUMPTION!$G$40/DEN,'MONTHLY P&amp;L'!AC19*(1+ASSUMPTION!$G$41)),'MONTHLY P&amp;L'!AC19)</f>
        <v>10.6488</v>
      </c>
      <c r="AE19" s="98">
        <f>IF(MOD(AE7,12)=4,MAX(ASSUMPTION!$G$40/DEN,'MONTHLY P&amp;L'!AD19*(1+ASSUMPTION!$G$41)),'MONTHLY P&amp;L'!AD19)</f>
        <v>10.6488</v>
      </c>
      <c r="AF19" s="98">
        <f>IF(MOD(AF7,12)=4,MAX(ASSUMPTION!$G$40/DEN,'MONTHLY P&amp;L'!AE19*(1+ASSUMPTION!$G$41)),'MONTHLY P&amp;L'!AE19)</f>
        <v>10.6488</v>
      </c>
      <c r="AG19" s="98">
        <f>IF(MOD(AG7,12)=4,MAX(ASSUMPTION!$G$40/DEN,'MONTHLY P&amp;L'!AF19*(1+ASSUMPTION!$G$41)),'MONTHLY P&amp;L'!AF19)</f>
        <v>11.500704000000001</v>
      </c>
      <c r="AH19" s="98">
        <f>IF(MOD(AH7,12)=4,MAX(ASSUMPTION!$G$40/DEN,'MONTHLY P&amp;L'!AG19*(1+ASSUMPTION!$G$41)),'MONTHLY P&amp;L'!AG19)</f>
        <v>11.500704000000001</v>
      </c>
      <c r="AI19" s="98">
        <f>IF(MOD(AI7,12)=4,MAX(ASSUMPTION!$G$40/DEN,'MONTHLY P&amp;L'!AH19*(1+ASSUMPTION!$G$41)),'MONTHLY P&amp;L'!AH19)</f>
        <v>11.500704000000001</v>
      </c>
      <c r="AJ19" s="98">
        <f>IF(MOD(AJ7,12)=4,MAX(ASSUMPTION!$G$40/DEN,'MONTHLY P&amp;L'!AI19*(1+ASSUMPTION!$G$41)),'MONTHLY P&amp;L'!AI19)</f>
        <v>11.500704000000001</v>
      </c>
      <c r="AK19" s="98">
        <f>IF(MOD(AK7,12)=4,MAX(ASSUMPTION!$G$40/DEN,'MONTHLY P&amp;L'!AJ19*(1+ASSUMPTION!$G$41)),'MONTHLY P&amp;L'!AJ19)</f>
        <v>11.500704000000001</v>
      </c>
      <c r="AL19" s="98">
        <f>IF(MOD(AL7,12)=4,MAX(ASSUMPTION!$G$40/DEN,'MONTHLY P&amp;L'!AK19*(1+ASSUMPTION!$G$41)),'MONTHLY P&amp;L'!AK19)</f>
        <v>11.500704000000001</v>
      </c>
      <c r="AM19" s="98">
        <f>IF(MOD(AM7,12)=4,MAX(ASSUMPTION!$G$40/DEN,'MONTHLY P&amp;L'!AL19*(1+ASSUMPTION!$G$41)),'MONTHLY P&amp;L'!AL19)</f>
        <v>11.500704000000001</v>
      </c>
      <c r="AN19" s="98">
        <f>IF(MOD(AN7,12)=4,MAX(ASSUMPTION!$G$40/DEN,'MONTHLY P&amp;L'!AM19*(1+ASSUMPTION!$G$41)),'MONTHLY P&amp;L'!AM19)</f>
        <v>11.500704000000001</v>
      </c>
      <c r="AO19" s="98">
        <f>IF(MOD(AO7,12)=4,MAX(ASSUMPTION!$G$40/DEN,'MONTHLY P&amp;L'!AN19*(1+ASSUMPTION!$G$41)),'MONTHLY P&amp;L'!AN19)</f>
        <v>11.500704000000001</v>
      </c>
    </row>
    <row r="20" spans="1:41" s="119" customFormat="1" x14ac:dyDescent="0.3">
      <c r="A20" s="107" t="s">
        <v>123</v>
      </c>
      <c r="F20" s="133">
        <f>SUM(F16:F19)</f>
        <v>0</v>
      </c>
      <c r="G20" s="133">
        <f t="shared" ref="G20:AO20" si="1">SUM(G16:G19)</f>
        <v>0</v>
      </c>
      <c r="H20" s="133">
        <f t="shared" si="1"/>
        <v>0</v>
      </c>
      <c r="I20" s="133">
        <f t="shared" si="1"/>
        <v>17.860999999999997</v>
      </c>
      <c r="J20" s="133">
        <f t="shared" si="1"/>
        <v>18.292244</v>
      </c>
      <c r="K20" s="133">
        <f t="shared" si="1"/>
        <v>18.052267999999998</v>
      </c>
      <c r="L20" s="133">
        <f t="shared" si="1"/>
        <v>18.647736655999999</v>
      </c>
      <c r="M20" s="133">
        <f t="shared" si="1"/>
        <v>18.639483875744002</v>
      </c>
      <c r="N20" s="133">
        <f t="shared" si="1"/>
        <v>18.993237319114883</v>
      </c>
      <c r="O20" s="133">
        <f t="shared" si="1"/>
        <v>19.559211584823565</v>
      </c>
      <c r="P20" s="133">
        <f t="shared" si="1"/>
        <v>18.695401146042286</v>
      </c>
      <c r="Q20" s="133">
        <f t="shared" si="1"/>
        <v>19.75830519187889</v>
      </c>
      <c r="R20" s="133">
        <f t="shared" si="1"/>
        <v>19.751589623316331</v>
      </c>
      <c r="S20" s="133">
        <f t="shared" si="1"/>
        <v>20.726612960274387</v>
      </c>
      <c r="T20" s="133">
        <f t="shared" si="1"/>
        <v>20.307216888423874</v>
      </c>
      <c r="U20" s="133">
        <f t="shared" si="1"/>
        <v>22.482820550000721</v>
      </c>
      <c r="V20" s="133">
        <f t="shared" si="1"/>
        <v>22.820128957950541</v>
      </c>
      <c r="W20" s="133">
        <f t="shared" si="1"/>
        <v>22.563546201154523</v>
      </c>
      <c r="X20" s="133">
        <f t="shared" si="1"/>
        <v>23.82814885984434</v>
      </c>
      <c r="Y20" s="133">
        <f t="shared" si="1"/>
        <v>23.244198692118381</v>
      </c>
      <c r="Z20" s="133">
        <f t="shared" si="1"/>
        <v>23.94213999180284</v>
      </c>
      <c r="AA20" s="133">
        <f t="shared" si="1"/>
        <v>25.035130533038867</v>
      </c>
      <c r="AB20" s="133">
        <f t="shared" si="1"/>
        <v>23.637817264684301</v>
      </c>
      <c r="AC20" s="133">
        <f t="shared" si="1"/>
        <v>25.102170406322518</v>
      </c>
      <c r="AD20" s="133">
        <f t="shared" si="1"/>
        <v>25.570277673369326</v>
      </c>
      <c r="AE20" s="133">
        <f t="shared" si="1"/>
        <v>26.38885754708755</v>
      </c>
      <c r="AF20" s="133">
        <f t="shared" si="1"/>
        <v>25.991989503843484</v>
      </c>
      <c r="AG20" s="133">
        <f t="shared" si="1"/>
        <v>29.545685012153079</v>
      </c>
      <c r="AH20" s="133">
        <f t="shared" si="1"/>
        <v>28.979751513736041</v>
      </c>
      <c r="AI20" s="133">
        <f t="shared" si="1"/>
        <v>29.057319401054251</v>
      </c>
      <c r="AJ20" s="133">
        <f t="shared" si="1"/>
        <v>31.248421646167657</v>
      </c>
      <c r="AK20" s="133">
        <f t="shared" si="1"/>
        <v>30.101641197601467</v>
      </c>
      <c r="AL20" s="133">
        <f t="shared" si="1"/>
        <v>31.511602705046585</v>
      </c>
      <c r="AM20" s="133">
        <f t="shared" si="1"/>
        <v>31.711634241647516</v>
      </c>
      <c r="AN20" s="133">
        <f t="shared" si="1"/>
        <v>29.857552212709514</v>
      </c>
      <c r="AO20" s="133">
        <f t="shared" si="1"/>
        <v>31.49407567850826</v>
      </c>
    </row>
    <row r="22" spans="1:41" x14ac:dyDescent="0.3">
      <c r="A22" s="87" t="s">
        <v>124</v>
      </c>
    </row>
    <row r="23" spans="1:41" x14ac:dyDescent="0.3">
      <c r="A23" t="s">
        <v>125</v>
      </c>
      <c r="F23" s="98">
        <f>IF(MOD(F7,12)=4,MAX(ASSUMPTION!$G$50/DEN,'MONTHLY P&amp;L'!E23*(1+ASSUMPTION!$G$41)),'MONTHLY P&amp;L'!E23)</f>
        <v>0</v>
      </c>
      <c r="G23" s="98">
        <f>IF(MOD(G7,12)=4,MAX(ASSUMPTION!$G$50/DEN,'MONTHLY P&amp;L'!F23*(1+ASSUMPTION!$G$41)),'MONTHLY P&amp;L'!F23)</f>
        <v>0</v>
      </c>
      <c r="H23" s="98">
        <f>IF(MOD(H7,12)=4,MAX(ASSUMPTION!$G$50/DEN,'MONTHLY P&amp;L'!G23*(1+ASSUMPTION!$G$41)),'MONTHLY P&amp;L'!G23)</f>
        <v>0</v>
      </c>
      <c r="I23" s="98">
        <f>IF(MOD(I7,12)=4,MAX(ASSUMPTION!$G$50/DEN,'MONTHLY P&amp;L'!H23*(1+ASSUMPTION!$G$41)),'MONTHLY P&amp;L'!H23)</f>
        <v>3.8</v>
      </c>
      <c r="J23" s="98">
        <f>IF(MOD(J7,12)=4,MAX(ASSUMPTION!$G$50/DEN,'MONTHLY P&amp;L'!I23*(1+ASSUMPTION!$G$41)),'MONTHLY P&amp;L'!I23)</f>
        <v>3.8</v>
      </c>
      <c r="K23" s="98">
        <f>IF(MOD(K7,12)=4,MAX(ASSUMPTION!$G$50/DEN,'MONTHLY P&amp;L'!J23*(1+ASSUMPTION!$G$41)),'MONTHLY P&amp;L'!J23)</f>
        <v>3.8</v>
      </c>
      <c r="L23" s="98">
        <f>IF(MOD(L7,12)=4,MAX(ASSUMPTION!$G$50/DEN,'MONTHLY P&amp;L'!K23*(1+ASSUMPTION!$G$41)),'MONTHLY P&amp;L'!K23)</f>
        <v>3.8</v>
      </c>
      <c r="M23" s="98">
        <f>IF(MOD(M7,12)=4,MAX(ASSUMPTION!$G$50/DEN,'MONTHLY P&amp;L'!L23*(1+ASSUMPTION!$G$41)),'MONTHLY P&amp;L'!L23)</f>
        <v>3.8</v>
      </c>
      <c r="N23" s="98">
        <f>IF(MOD(N7,12)=4,MAX(ASSUMPTION!$G$50/DEN,'MONTHLY P&amp;L'!M23*(1+ASSUMPTION!$G$41)),'MONTHLY P&amp;L'!M23)</f>
        <v>3.8</v>
      </c>
      <c r="O23" s="98">
        <f>IF(MOD(O7,12)=4,MAX(ASSUMPTION!$G$50/DEN,'MONTHLY P&amp;L'!N23*(1+ASSUMPTION!$G$41)),'MONTHLY P&amp;L'!N23)</f>
        <v>3.8</v>
      </c>
      <c r="P23" s="98">
        <f>IF(MOD(P7,12)=4,MAX(ASSUMPTION!$G$50/DEN,'MONTHLY P&amp;L'!O23*(1+ASSUMPTION!$G$41)),'MONTHLY P&amp;L'!O23)</f>
        <v>3.8</v>
      </c>
      <c r="Q23" s="98">
        <f>IF(MOD(Q7,12)=4,MAX(ASSUMPTION!$G$50/DEN,'MONTHLY P&amp;L'!P23*(1+ASSUMPTION!$G$41)),'MONTHLY P&amp;L'!P23)</f>
        <v>3.8</v>
      </c>
      <c r="R23" s="98">
        <f>IF(MOD(R7,12)=4,MAX(ASSUMPTION!$G$50/DEN,'MONTHLY P&amp;L'!Q23*(1+ASSUMPTION!$G$41)),'MONTHLY P&amp;L'!Q23)</f>
        <v>3.8</v>
      </c>
      <c r="S23" s="98">
        <f>IF(MOD(S7,12)=4,MAX(ASSUMPTION!$G$50/DEN,'MONTHLY P&amp;L'!R23*(1+ASSUMPTION!$G$41)),'MONTHLY P&amp;L'!R23)</f>
        <v>3.8</v>
      </c>
      <c r="T23" s="98">
        <f>IF(MOD(T7,12)=4,MAX(ASSUMPTION!$G$50/DEN,'MONTHLY P&amp;L'!S23*(1+ASSUMPTION!$G$41)),'MONTHLY P&amp;L'!S23)</f>
        <v>3.8</v>
      </c>
      <c r="U23" s="98">
        <f>IF(MOD(U7,12)=4,MAX(ASSUMPTION!$G$50/DEN,'MONTHLY P&amp;L'!T23*(1+ASSUMPTION!$G$41)),'MONTHLY P&amp;L'!T23)</f>
        <v>4.1040000000000001</v>
      </c>
      <c r="V23" s="98">
        <f>IF(MOD(V7,12)=4,MAX(ASSUMPTION!$G$50/DEN,'MONTHLY P&amp;L'!U23*(1+ASSUMPTION!$G$41)),'MONTHLY P&amp;L'!U23)</f>
        <v>4.1040000000000001</v>
      </c>
      <c r="W23" s="98">
        <f>IF(MOD(W7,12)=4,MAX(ASSUMPTION!$G$50/DEN,'MONTHLY P&amp;L'!V23*(1+ASSUMPTION!$G$41)),'MONTHLY P&amp;L'!V23)</f>
        <v>4.1040000000000001</v>
      </c>
      <c r="X23" s="98">
        <f>IF(MOD(X7,12)=4,MAX(ASSUMPTION!$G$50/DEN,'MONTHLY P&amp;L'!W23*(1+ASSUMPTION!$G$41)),'MONTHLY P&amp;L'!W23)</f>
        <v>4.1040000000000001</v>
      </c>
      <c r="Y23" s="98">
        <f>IF(MOD(Y7,12)=4,MAX(ASSUMPTION!$G$50/DEN,'MONTHLY P&amp;L'!X23*(1+ASSUMPTION!$G$41)),'MONTHLY P&amp;L'!X23)</f>
        <v>4.1040000000000001</v>
      </c>
      <c r="Z23" s="98">
        <f>IF(MOD(Z7,12)=4,MAX(ASSUMPTION!$G$50/DEN,'MONTHLY P&amp;L'!Y23*(1+ASSUMPTION!$G$41)),'MONTHLY P&amp;L'!Y23)</f>
        <v>4.1040000000000001</v>
      </c>
      <c r="AA23" s="98">
        <f>IF(MOD(AA7,12)=4,MAX(ASSUMPTION!$G$50/DEN,'MONTHLY P&amp;L'!Z23*(1+ASSUMPTION!$G$41)),'MONTHLY P&amp;L'!Z23)</f>
        <v>4.1040000000000001</v>
      </c>
      <c r="AB23" s="98">
        <f>IF(MOD(AB7,12)=4,MAX(ASSUMPTION!$G$50/DEN,'MONTHLY P&amp;L'!AA23*(1+ASSUMPTION!$G$41)),'MONTHLY P&amp;L'!AA23)</f>
        <v>4.1040000000000001</v>
      </c>
      <c r="AC23" s="98">
        <f>IF(MOD(AC7,12)=4,MAX(ASSUMPTION!$G$50/DEN,'MONTHLY P&amp;L'!AB23*(1+ASSUMPTION!$G$41)),'MONTHLY P&amp;L'!AB23)</f>
        <v>4.1040000000000001</v>
      </c>
      <c r="AD23" s="98">
        <f>IF(MOD(AD7,12)=4,MAX(ASSUMPTION!$G$50/DEN,'MONTHLY P&amp;L'!AC23*(1+ASSUMPTION!$G$41)),'MONTHLY P&amp;L'!AC23)</f>
        <v>4.1040000000000001</v>
      </c>
      <c r="AE23" s="98">
        <f>IF(MOD(AE7,12)=4,MAX(ASSUMPTION!$G$50/DEN,'MONTHLY P&amp;L'!AD23*(1+ASSUMPTION!$G$41)),'MONTHLY P&amp;L'!AD23)</f>
        <v>4.1040000000000001</v>
      </c>
      <c r="AF23" s="98">
        <f>IF(MOD(AF7,12)=4,MAX(ASSUMPTION!$G$50/DEN,'MONTHLY P&amp;L'!AE23*(1+ASSUMPTION!$G$41)),'MONTHLY P&amp;L'!AE23)</f>
        <v>4.1040000000000001</v>
      </c>
      <c r="AG23" s="98">
        <f>IF(MOD(AG7,12)=4,MAX(ASSUMPTION!$G$50/DEN,'MONTHLY P&amp;L'!AF23*(1+ASSUMPTION!$G$41)),'MONTHLY P&amp;L'!AF23)</f>
        <v>4.4323200000000007</v>
      </c>
      <c r="AH23" s="98">
        <f>IF(MOD(AH7,12)=4,MAX(ASSUMPTION!$G$50/DEN,'MONTHLY P&amp;L'!AG23*(1+ASSUMPTION!$G$41)),'MONTHLY P&amp;L'!AG23)</f>
        <v>4.4323200000000007</v>
      </c>
      <c r="AI23" s="98">
        <f>IF(MOD(AI7,12)=4,MAX(ASSUMPTION!$G$50/DEN,'MONTHLY P&amp;L'!AH23*(1+ASSUMPTION!$G$41)),'MONTHLY P&amp;L'!AH23)</f>
        <v>4.4323200000000007</v>
      </c>
      <c r="AJ23" s="98">
        <f>IF(MOD(AJ7,12)=4,MAX(ASSUMPTION!$G$50/DEN,'MONTHLY P&amp;L'!AI23*(1+ASSUMPTION!$G$41)),'MONTHLY P&amp;L'!AI23)</f>
        <v>4.4323200000000007</v>
      </c>
      <c r="AK23" s="98">
        <f>IF(MOD(AK7,12)=4,MAX(ASSUMPTION!$G$50/DEN,'MONTHLY P&amp;L'!AJ23*(1+ASSUMPTION!$G$41)),'MONTHLY P&amp;L'!AJ23)</f>
        <v>4.4323200000000007</v>
      </c>
      <c r="AL23" s="98">
        <f>IF(MOD(AL7,12)=4,MAX(ASSUMPTION!$G$50/DEN,'MONTHLY P&amp;L'!AK23*(1+ASSUMPTION!$G$41)),'MONTHLY P&amp;L'!AK23)</f>
        <v>4.4323200000000007</v>
      </c>
      <c r="AM23" s="98">
        <f>IF(MOD(AM7,12)=4,MAX(ASSUMPTION!$G$50/DEN,'MONTHLY P&amp;L'!AL23*(1+ASSUMPTION!$G$41)),'MONTHLY P&amp;L'!AL23)</f>
        <v>4.4323200000000007</v>
      </c>
      <c r="AN23" s="98">
        <f>IF(MOD(AN7,12)=4,MAX(ASSUMPTION!$G$50/DEN,'MONTHLY P&amp;L'!AM23*(1+ASSUMPTION!$G$41)),'MONTHLY P&amp;L'!AM23)</f>
        <v>4.4323200000000007</v>
      </c>
      <c r="AO23" s="98">
        <f>IF(MOD(AO7,12)=4,MAX(ASSUMPTION!$G$50/DEN,'MONTHLY P&amp;L'!AN23*(1+ASSUMPTION!$G$41)),'MONTHLY P&amp;L'!AN23)</f>
        <v>4.4323200000000007</v>
      </c>
    </row>
    <row r="24" spans="1:41" x14ac:dyDescent="0.3">
      <c r="A24" t="str">
        <f>ASSUMPTION!A52</f>
        <v>Rotalty to brand (% Of Revenue)</v>
      </c>
      <c r="F24" s="98">
        <f>F13*ASSUMPTION!$G$52/DEN</f>
        <v>0</v>
      </c>
      <c r="G24" s="98">
        <f>G13*ASSUMPTION!$G$52/DEN</f>
        <v>0</v>
      </c>
      <c r="H24" s="98">
        <f>H13*ASSUMPTION!$G$52/DEN</f>
        <v>0</v>
      </c>
      <c r="I24" s="98">
        <f>I13*ASSUMPTION!$G$52</f>
        <v>1.2282000000000002</v>
      </c>
      <c r="J24" s="98">
        <f>J13*ASSUMPTION!$G$52</f>
        <v>1.2930760000000003</v>
      </c>
      <c r="K24" s="98">
        <f>K13*ASSUMPTION!$G$52</f>
        <v>1.25725072</v>
      </c>
      <c r="L24" s="98">
        <f>L13*ASSUMPTION!$G$52</f>
        <v>1.3480704864000002</v>
      </c>
      <c r="M24" s="98">
        <f>M13*ASSUMPTION!$G$52</f>
        <v>1.3465260861120003</v>
      </c>
      <c r="N24" s="98">
        <f>N13*ASSUMPTION!$G$52</f>
        <v>1.4016012282464003</v>
      </c>
      <c r="O24" s="98">
        <f>O13*ASSUMPTION!$G$52</f>
        <v>1.4869003301616512</v>
      </c>
      <c r="P24" s="98">
        <f>P13*ASSUMPTION!$G$52</f>
        <v>1.3551481222715527</v>
      </c>
      <c r="Q24" s="98">
        <f>Q13*ASSUMPTION!$G$52</f>
        <v>1.5187410859213204</v>
      </c>
      <c r="R24" s="98">
        <f>R13*ASSUMPTION!$G$52</f>
        <v>1.5174115287151495</v>
      </c>
      <c r="S24" s="98">
        <f>S13*ASSUMPTION!$G$52</f>
        <v>1.6654436131207409</v>
      </c>
      <c r="T24" s="98">
        <f>T13*ASSUMPTION!$G$52</f>
        <v>1.6024526072879721</v>
      </c>
      <c r="U24" s="98">
        <f>U13*ASSUMPTION!$G$52</f>
        <v>1.8143761752198424</v>
      </c>
      <c r="V24" s="98">
        <f>V13*ASSUMPTION!$G$52</f>
        <v>1.8659750102432893</v>
      </c>
      <c r="W24" s="98">
        <f>W13*ASSUMPTION!$G$52</f>
        <v>1.8272143047668301</v>
      </c>
      <c r="X24" s="98">
        <f>X13*ASSUMPTION!$G$52</f>
        <v>2.0192562920655095</v>
      </c>
      <c r="Y24" s="98">
        <f>Y13*ASSUMPTION!$G$52</f>
        <v>1.9313582710797208</v>
      </c>
      <c r="Z24" s="98">
        <f>Z13*ASSUMPTION!$G$52</f>
        <v>2.0385423504224365</v>
      </c>
      <c r="AA24" s="98">
        <f>AA13*ASSUMPTION!$G$52</f>
        <v>2.2037596199948482</v>
      </c>
      <c r="AB24" s="98">
        <f>AB13*ASSUMPTION!$G$52</f>
        <v>1.9907258132707502</v>
      </c>
      <c r="AC24" s="98">
        <f>AC13*ASSUMPTION!$G$52</f>
        <v>2.2160205208559312</v>
      </c>
      <c r="AD24" s="98">
        <f>AD13*ASSUMPTION!$G$52</f>
        <v>2.286090382646043</v>
      </c>
      <c r="AE24" s="98">
        <f>AE13*ASSUMPTION!$G$52</f>
        <v>2.4117183366721586</v>
      </c>
      <c r="AF24" s="98">
        <f>AF13*ASSUMPTION!$G$52</f>
        <v>2.3516668479679161</v>
      </c>
      <c r="AG24" s="98">
        <f>AG13*ASSUMPTION!$G$52</f>
        <v>2.7631461723287489</v>
      </c>
      <c r="AH24" s="98">
        <f>AH13*ASSUMPTION!$G$52</f>
        <v>2.6790810889182755</v>
      </c>
      <c r="AI24" s="98">
        <f>AI13*ASSUMPTION!$G$52</f>
        <v>2.6904085629931886</v>
      </c>
      <c r="AJ24" s="98">
        <f>AJ13*ASSUMPTION!$G$52</f>
        <v>3.0232994823120629</v>
      </c>
      <c r="AK24" s="98">
        <f>AK13*ASSUMPTION!$G$52</f>
        <v>2.8500791096472939</v>
      </c>
      <c r="AL24" s="98">
        <f>AL13*ASSUMPTION!$G$52</f>
        <v>3.0651211940812564</v>
      </c>
      <c r="AM24" s="98">
        <f>AM13*ASSUMPTION!$G$52</f>
        <v>3.0959615429628817</v>
      </c>
      <c r="AN24" s="98">
        <f>AN13*ASSUMPTION!$G$52</f>
        <v>2.8123381352928543</v>
      </c>
      <c r="AO24" s="98">
        <f>AO13*ASSUMPTION!$G$52</f>
        <v>3.0646531226985179</v>
      </c>
    </row>
    <row r="25" spans="1:41" x14ac:dyDescent="0.3">
      <c r="A25" t="str">
        <f>ASSUMPTION!A53</f>
        <v>Rent (as per contract) (% of revenue)</v>
      </c>
      <c r="F25" s="98">
        <f>'MONTHLY P&amp;L'!F13*ASSUMPTION!$G$53</f>
        <v>0</v>
      </c>
      <c r="G25" s="98">
        <f>'MONTHLY P&amp;L'!G13*ASSUMPTION!$G$53</f>
        <v>0</v>
      </c>
      <c r="H25" s="98">
        <f>'MONTHLY P&amp;L'!H13*ASSUMPTION!$G$53</f>
        <v>0</v>
      </c>
      <c r="I25" s="98">
        <f>'MONTHLY P&amp;L'!I13*ASSUMPTION!$G$53</f>
        <v>2.4564000000000004</v>
      </c>
      <c r="J25" s="98">
        <f>'MONTHLY P&amp;L'!J13*ASSUMPTION!$G$53</f>
        <v>2.5861520000000007</v>
      </c>
      <c r="K25" s="98">
        <f>'MONTHLY P&amp;L'!K13*ASSUMPTION!$G$53</f>
        <v>2.5145014400000001</v>
      </c>
      <c r="L25" s="98">
        <f>'MONTHLY P&amp;L'!L13*ASSUMPTION!$G$53</f>
        <v>2.6961409728000003</v>
      </c>
      <c r="M25" s="98">
        <f>'MONTHLY P&amp;L'!M13*ASSUMPTION!$G$53</f>
        <v>2.6930521722240006</v>
      </c>
      <c r="N25" s="98">
        <f>'MONTHLY P&amp;L'!N13*ASSUMPTION!$G$53</f>
        <v>2.8032024564928006</v>
      </c>
      <c r="O25" s="98">
        <f>'MONTHLY P&amp;L'!O13*ASSUMPTION!$G$53</f>
        <v>2.9738006603233025</v>
      </c>
      <c r="P25" s="98">
        <f>'MONTHLY P&amp;L'!P13*ASSUMPTION!$G$53</f>
        <v>2.7102962445431054</v>
      </c>
      <c r="Q25" s="98">
        <f>'MONTHLY P&amp;L'!Q13*ASSUMPTION!$G$53</f>
        <v>3.0374821718426408</v>
      </c>
      <c r="R25" s="98">
        <f>'MONTHLY P&amp;L'!R13*ASSUMPTION!$G$53</f>
        <v>3.034823057430299</v>
      </c>
      <c r="S25" s="98">
        <f>'MONTHLY P&amp;L'!S13*ASSUMPTION!$G$53</f>
        <v>3.3308872262414817</v>
      </c>
      <c r="T25" s="98">
        <f>'MONTHLY P&amp;L'!T13*ASSUMPTION!$G$53</f>
        <v>3.2049052145759442</v>
      </c>
      <c r="U25" s="98">
        <f>'MONTHLY P&amp;L'!U13*ASSUMPTION!$G$53</f>
        <v>3.6287523504396848</v>
      </c>
      <c r="V25" s="98">
        <f>'MONTHLY P&amp;L'!V13*ASSUMPTION!$G$53</f>
        <v>3.7319500204865785</v>
      </c>
      <c r="W25" s="98">
        <f>'MONTHLY P&amp;L'!W13*ASSUMPTION!$G$53</f>
        <v>3.6544286095336602</v>
      </c>
      <c r="X25" s="98">
        <f>'MONTHLY P&amp;L'!X13*ASSUMPTION!$G$53</f>
        <v>4.038512584131019</v>
      </c>
      <c r="Y25" s="98">
        <f>'MONTHLY P&amp;L'!Y13*ASSUMPTION!$G$53</f>
        <v>3.8627165421594416</v>
      </c>
      <c r="Z25" s="98">
        <f>'MONTHLY P&amp;L'!Z13*ASSUMPTION!$G$53</f>
        <v>4.077084700844873</v>
      </c>
      <c r="AA25" s="98">
        <f>'MONTHLY P&amp;L'!AA13*ASSUMPTION!$G$53</f>
        <v>4.4075192399896963</v>
      </c>
      <c r="AB25" s="98">
        <f>'MONTHLY P&amp;L'!AB13*ASSUMPTION!$G$53</f>
        <v>3.9814516265415003</v>
      </c>
      <c r="AC25" s="98">
        <f>'MONTHLY P&amp;L'!AC13*ASSUMPTION!$G$53</f>
        <v>4.4320410417118623</v>
      </c>
      <c r="AD25" s="98">
        <f>'MONTHLY P&amp;L'!AD13*ASSUMPTION!$G$53</f>
        <v>4.5721807652920861</v>
      </c>
      <c r="AE25" s="98">
        <f>'MONTHLY P&amp;L'!AE13*ASSUMPTION!$G$53</f>
        <v>4.8234366733443172</v>
      </c>
      <c r="AF25" s="98">
        <f>'MONTHLY P&amp;L'!AF13*ASSUMPTION!$G$53</f>
        <v>4.7033336959358323</v>
      </c>
      <c r="AG25" s="98">
        <f>'MONTHLY P&amp;L'!AG13*ASSUMPTION!$G$53</f>
        <v>5.5262923446574979</v>
      </c>
      <c r="AH25" s="98">
        <f>'MONTHLY P&amp;L'!AH13*ASSUMPTION!$G$53</f>
        <v>5.3581621778365509</v>
      </c>
      <c r="AI25" s="98">
        <f>'MONTHLY P&amp;L'!AI13*ASSUMPTION!$G$53</f>
        <v>5.3808171259863773</v>
      </c>
      <c r="AJ25" s="98">
        <f>'MONTHLY P&amp;L'!AJ13*ASSUMPTION!$G$53</f>
        <v>6.0465989646241258</v>
      </c>
      <c r="AK25" s="98">
        <f>'MONTHLY P&amp;L'!AK13*ASSUMPTION!$G$53</f>
        <v>5.7001582192945879</v>
      </c>
      <c r="AL25" s="98">
        <f>'MONTHLY P&amp;L'!AL13*ASSUMPTION!$G$53</f>
        <v>6.1302423881625128</v>
      </c>
      <c r="AM25" s="98">
        <f>'MONTHLY P&amp;L'!AM13*ASSUMPTION!$G$53</f>
        <v>6.1919230859257635</v>
      </c>
      <c r="AN25" s="98">
        <f>'MONTHLY P&amp;L'!AN13*ASSUMPTION!$G$53</f>
        <v>5.6246762705857085</v>
      </c>
      <c r="AO25" s="98">
        <f>'MONTHLY P&amp;L'!AO13*ASSUMPTION!$G$53</f>
        <v>6.1293062453970357</v>
      </c>
    </row>
    <row r="26" spans="1:41" x14ac:dyDescent="0.3">
      <c r="A26" t="str">
        <f>ASSUMPTION!A54</f>
        <v>Water Cost (per month)</v>
      </c>
      <c r="F26" s="98">
        <f>IF(MOD(F7,12)=4,MAX(ASSUMPTION!$G$54/DEN,'MONTHLY P&amp;L'!E26*(1+ASSUMPTION!$G$62)),'MONTHLY P&amp;L'!E26)</f>
        <v>0</v>
      </c>
      <c r="G26" s="98">
        <f>IF(MOD(G7,12)=4,MAX(ASSUMPTION!$G$54/DEN,'MONTHLY P&amp;L'!F26*(1+ASSUMPTION!$G$62)),'MONTHLY P&amp;L'!F26)</f>
        <v>0</v>
      </c>
      <c r="H26" s="98">
        <f>IF(MOD(H7,12)=4,MAX(ASSUMPTION!$G$54/DEN,'MONTHLY P&amp;L'!G26*(1+ASSUMPTION!$G$62)),'MONTHLY P&amp;L'!G26)</f>
        <v>0</v>
      </c>
      <c r="I26" s="98">
        <f>IF(MOD(I7,12)=4,MAX(ASSUMPTION!$G$54/DEN,'MONTHLY P&amp;L'!H26*(1+ASSUMPTION!$G$62)),'MONTHLY P&amp;L'!H26)</f>
        <v>0.1</v>
      </c>
      <c r="J26" s="98">
        <f>IF(MOD(J7,12)=4,MAX(ASSUMPTION!$G$54/DEN,'MONTHLY P&amp;L'!I26*(1+ASSUMPTION!$G$62)),'MONTHLY P&amp;L'!I26)</f>
        <v>0.1</v>
      </c>
      <c r="K26" s="98">
        <f>IF(MOD(K7,12)=4,MAX(ASSUMPTION!$G$54/DEN,'MONTHLY P&amp;L'!J26*(1+ASSUMPTION!$G$62)),'MONTHLY P&amp;L'!J26)</f>
        <v>0.1</v>
      </c>
      <c r="L26" s="98">
        <f>IF(MOD(L7,12)=4,MAX(ASSUMPTION!$G$54/DEN,'MONTHLY P&amp;L'!K26*(1+ASSUMPTION!$G$62)),'MONTHLY P&amp;L'!K26)</f>
        <v>0.1</v>
      </c>
      <c r="M26" s="98">
        <f>IF(MOD(M7,12)=4,MAX(ASSUMPTION!$G$54/DEN,'MONTHLY P&amp;L'!L26*(1+ASSUMPTION!$G$62)),'MONTHLY P&amp;L'!L26)</f>
        <v>0.1</v>
      </c>
      <c r="N26" s="98">
        <f>IF(MOD(N7,12)=4,MAX(ASSUMPTION!$G$54/DEN,'MONTHLY P&amp;L'!M26*(1+ASSUMPTION!$G$62)),'MONTHLY P&amp;L'!M26)</f>
        <v>0.1</v>
      </c>
      <c r="O26" s="98">
        <f>IF(MOD(O7,12)=4,MAX(ASSUMPTION!$G$54/DEN,'MONTHLY P&amp;L'!N26*(1+ASSUMPTION!$G$62)),'MONTHLY P&amp;L'!N26)</f>
        <v>0.1</v>
      </c>
      <c r="P26" s="98">
        <f>IF(MOD(P7,12)=4,MAX(ASSUMPTION!$G$54/DEN,'MONTHLY P&amp;L'!O26*(1+ASSUMPTION!$G$62)),'MONTHLY P&amp;L'!O26)</f>
        <v>0.1</v>
      </c>
      <c r="Q26" s="98">
        <f>IF(MOD(Q7,12)=4,MAX(ASSUMPTION!$G$54/DEN,'MONTHLY P&amp;L'!P26*(1+ASSUMPTION!$G$62)),'MONTHLY P&amp;L'!P26)</f>
        <v>0.1</v>
      </c>
      <c r="R26" s="98">
        <f>IF(MOD(R7,12)=4,MAX(ASSUMPTION!$G$54/DEN,'MONTHLY P&amp;L'!Q26*(1+ASSUMPTION!$G$62)),'MONTHLY P&amp;L'!Q26)</f>
        <v>0.1</v>
      </c>
      <c r="S26" s="98">
        <f>IF(MOD(S7,12)=4,MAX(ASSUMPTION!$G$54/DEN,'MONTHLY P&amp;L'!R26*(1+ASSUMPTION!$G$62)),'MONTHLY P&amp;L'!R26)</f>
        <v>0.1</v>
      </c>
      <c r="T26" s="98">
        <f>IF(MOD(T7,12)=4,MAX(ASSUMPTION!$G$54/DEN,'MONTHLY P&amp;L'!S26*(1+ASSUMPTION!$G$62)),'MONTHLY P&amp;L'!S26)</f>
        <v>0.1</v>
      </c>
      <c r="U26" s="98">
        <f>IF(MOD(U7,12)=4,MAX(ASSUMPTION!$G$54/DEN,'MONTHLY P&amp;L'!T26*(1+ASSUMPTION!$G$62)),'MONTHLY P&amp;L'!T26)</f>
        <v>0.10800000000000001</v>
      </c>
      <c r="V26" s="98">
        <f>IF(MOD(V7,12)=4,MAX(ASSUMPTION!$G$54/DEN,'MONTHLY P&amp;L'!U26*(1+ASSUMPTION!$G$62)),'MONTHLY P&amp;L'!U26)</f>
        <v>0.10800000000000001</v>
      </c>
      <c r="W26" s="98">
        <f>IF(MOD(W7,12)=4,MAX(ASSUMPTION!$G$54/DEN,'MONTHLY P&amp;L'!V26*(1+ASSUMPTION!$G$62)),'MONTHLY P&amp;L'!V26)</f>
        <v>0.10800000000000001</v>
      </c>
      <c r="X26" s="98">
        <f>IF(MOD(X7,12)=4,MAX(ASSUMPTION!$G$54/DEN,'MONTHLY P&amp;L'!W26*(1+ASSUMPTION!$G$62)),'MONTHLY P&amp;L'!W26)</f>
        <v>0.10800000000000001</v>
      </c>
      <c r="Y26" s="98">
        <f>IF(MOD(Y7,12)=4,MAX(ASSUMPTION!$G$54/DEN,'MONTHLY P&amp;L'!X26*(1+ASSUMPTION!$G$62)),'MONTHLY P&amp;L'!X26)</f>
        <v>0.10800000000000001</v>
      </c>
      <c r="Z26" s="98">
        <f>IF(MOD(Z7,12)=4,MAX(ASSUMPTION!$G$54/DEN,'MONTHLY P&amp;L'!Y26*(1+ASSUMPTION!$G$62)),'MONTHLY P&amp;L'!Y26)</f>
        <v>0.10800000000000001</v>
      </c>
      <c r="AA26" s="98">
        <f>IF(MOD(AA7,12)=4,MAX(ASSUMPTION!$G$54/DEN,'MONTHLY P&amp;L'!Z26*(1+ASSUMPTION!$G$62)),'MONTHLY P&amp;L'!Z26)</f>
        <v>0.10800000000000001</v>
      </c>
      <c r="AB26" s="98">
        <f>IF(MOD(AB7,12)=4,MAX(ASSUMPTION!$G$54/DEN,'MONTHLY P&amp;L'!AA26*(1+ASSUMPTION!$G$62)),'MONTHLY P&amp;L'!AA26)</f>
        <v>0.10800000000000001</v>
      </c>
      <c r="AC26" s="98">
        <f>IF(MOD(AC7,12)=4,MAX(ASSUMPTION!$G$54/DEN,'MONTHLY P&amp;L'!AB26*(1+ASSUMPTION!$G$62)),'MONTHLY P&amp;L'!AB26)</f>
        <v>0.10800000000000001</v>
      </c>
      <c r="AD26" s="98">
        <f>IF(MOD(AD7,12)=4,MAX(ASSUMPTION!$G$54/DEN,'MONTHLY P&amp;L'!AC26*(1+ASSUMPTION!$G$62)),'MONTHLY P&amp;L'!AC26)</f>
        <v>0.10800000000000001</v>
      </c>
      <c r="AE26" s="98">
        <f>IF(MOD(AE7,12)=4,MAX(ASSUMPTION!$G$54/DEN,'MONTHLY P&amp;L'!AD26*(1+ASSUMPTION!$G$62)),'MONTHLY P&amp;L'!AD26)</f>
        <v>0.10800000000000001</v>
      </c>
      <c r="AF26" s="98">
        <f>IF(MOD(AF7,12)=4,MAX(ASSUMPTION!$G$54/DEN,'MONTHLY P&amp;L'!AE26*(1+ASSUMPTION!$G$62)),'MONTHLY P&amp;L'!AE26)</f>
        <v>0.10800000000000001</v>
      </c>
      <c r="AG26" s="98">
        <f>IF(MOD(AG7,12)=4,MAX(ASSUMPTION!$G$54/DEN,'MONTHLY P&amp;L'!AF26*(1+ASSUMPTION!$G$62)),'MONTHLY P&amp;L'!AF26)</f>
        <v>0.11664000000000002</v>
      </c>
      <c r="AH26" s="98">
        <f>IF(MOD(AH7,12)=4,MAX(ASSUMPTION!$G$54/DEN,'MONTHLY P&amp;L'!AG26*(1+ASSUMPTION!$G$62)),'MONTHLY P&amp;L'!AG26)</f>
        <v>0.11664000000000002</v>
      </c>
      <c r="AI26" s="98">
        <f>IF(MOD(AI7,12)=4,MAX(ASSUMPTION!$G$54/DEN,'MONTHLY P&amp;L'!AH26*(1+ASSUMPTION!$G$62)),'MONTHLY P&amp;L'!AH26)</f>
        <v>0.11664000000000002</v>
      </c>
      <c r="AJ26" s="98">
        <f>IF(MOD(AJ7,12)=4,MAX(ASSUMPTION!$G$54/DEN,'MONTHLY P&amp;L'!AI26*(1+ASSUMPTION!$G$62)),'MONTHLY P&amp;L'!AI26)</f>
        <v>0.11664000000000002</v>
      </c>
      <c r="AK26" s="98">
        <f>IF(MOD(AK7,12)=4,MAX(ASSUMPTION!$G$54/DEN,'MONTHLY P&amp;L'!AJ26*(1+ASSUMPTION!$G$62)),'MONTHLY P&amp;L'!AJ26)</f>
        <v>0.11664000000000002</v>
      </c>
      <c r="AL26" s="98">
        <f>IF(MOD(AL7,12)=4,MAX(ASSUMPTION!$G$54/DEN,'MONTHLY P&amp;L'!AK26*(1+ASSUMPTION!$G$62)),'MONTHLY P&amp;L'!AK26)</f>
        <v>0.11664000000000002</v>
      </c>
      <c r="AM26" s="98">
        <f>IF(MOD(AM7,12)=4,MAX(ASSUMPTION!$G$54/DEN,'MONTHLY P&amp;L'!AL26*(1+ASSUMPTION!$G$62)),'MONTHLY P&amp;L'!AL26)</f>
        <v>0.11664000000000002</v>
      </c>
      <c r="AN26" s="98">
        <f>IF(MOD(AN7,12)=4,MAX(ASSUMPTION!$G$54/DEN,'MONTHLY P&amp;L'!AM26*(1+ASSUMPTION!$G$62)),'MONTHLY P&amp;L'!AM26)</f>
        <v>0.11664000000000002</v>
      </c>
      <c r="AO26" s="98">
        <f>IF(MOD(AO7,12)=4,MAX(ASSUMPTION!$G$54/DEN,'MONTHLY P&amp;L'!AN26*(1+ASSUMPTION!$G$62)),'MONTHLY P&amp;L'!AN26)</f>
        <v>0.11664000000000002</v>
      </c>
    </row>
    <row r="27" spans="1:41" s="91" customFormat="1" x14ac:dyDescent="0.3">
      <c r="A27" s="91" t="str">
        <f>ASSUMPTION!A55</f>
        <v>Maintenance (per month)</v>
      </c>
      <c r="F27" s="98">
        <f>IF(MOD(F7,12)=4,MAX(ASSUMPTION!$G$55,'MONTHLY P&amp;L'!E27*(1+ASSUMPTION!$G$62)),'MONTHLY P&amp;L'!E27)</f>
        <v>0</v>
      </c>
      <c r="G27" s="98">
        <f>IF(MOD(G7,12)=4,MAX(ASSUMPTION!$G$55,'MONTHLY P&amp;L'!F27*(1+ASSUMPTION!$G$62)),'MONTHLY P&amp;L'!F27)</f>
        <v>0</v>
      </c>
      <c r="H27" s="98">
        <f>IF(MOD(H7,12)=4,MAX(ASSUMPTION!$G$55,'MONTHLY P&amp;L'!G27*(1+ASSUMPTION!$G$62)),'MONTHLY P&amp;L'!G27)</f>
        <v>0</v>
      </c>
      <c r="I27" s="98">
        <f>IF(MOD(I7,12)=4,MAX(ASSUMPTION!$G$55/DEN,'MONTHLY P&amp;L'!H27*(1+ASSUMPTION!$G$62)),'MONTHLY P&amp;L'!H27)</f>
        <v>0.5</v>
      </c>
      <c r="J27" s="98">
        <f>IF(MOD(J7,12)=4,MAX(ASSUMPTION!$G$55,'MONTHLY P&amp;L'!I27*(1+ASSUMPTION!$G$62)),'MONTHLY P&amp;L'!I27)</f>
        <v>0.5</v>
      </c>
      <c r="K27" s="98">
        <f>IF(MOD(K7,12)=4,MAX(ASSUMPTION!$G$55,'MONTHLY P&amp;L'!J27*(1+ASSUMPTION!$G$62)),'MONTHLY P&amp;L'!J27)</f>
        <v>0.5</v>
      </c>
      <c r="L27" s="98">
        <f>IF(MOD(L7,12)=4,MAX(ASSUMPTION!$G$55,'MONTHLY P&amp;L'!K27*(1+ASSUMPTION!$G$62)),'MONTHLY P&amp;L'!K27)</f>
        <v>0.5</v>
      </c>
      <c r="M27" s="98">
        <f>IF(MOD(M7,12)=4,MAX(ASSUMPTION!$G$55,'MONTHLY P&amp;L'!L27*(1+ASSUMPTION!$G$62)),'MONTHLY P&amp;L'!L27)</f>
        <v>0.5</v>
      </c>
      <c r="N27" s="98">
        <f>IF(MOD(N7,12)=4,MAX(ASSUMPTION!$G$55,'MONTHLY P&amp;L'!M27*(1+ASSUMPTION!$G$62)),'MONTHLY P&amp;L'!M27)</f>
        <v>0.5</v>
      </c>
      <c r="O27" s="98">
        <f>IF(MOD(O7,12)=4,MAX(ASSUMPTION!$G$55,'MONTHLY P&amp;L'!N27*(1+ASSUMPTION!$G$62)),'MONTHLY P&amp;L'!N27)</f>
        <v>0.5</v>
      </c>
      <c r="P27" s="98">
        <f>IF(MOD(P7,12)=4,MAX(ASSUMPTION!$G$55,'MONTHLY P&amp;L'!O27*(1+ASSUMPTION!$G$62)),'MONTHLY P&amp;L'!O27)</f>
        <v>0.5</v>
      </c>
      <c r="Q27" s="98">
        <f>IF(MOD(Q7,12)=4,MAX(ASSUMPTION!$G$55,'MONTHLY P&amp;L'!P27*(1+ASSUMPTION!$G$62)),'MONTHLY P&amp;L'!P27)</f>
        <v>0.5</v>
      </c>
      <c r="R27" s="98">
        <f>IF(MOD(R7,12)=4,MAX(ASSUMPTION!$G$55,'MONTHLY P&amp;L'!Q27*(1+ASSUMPTION!$G$62)),'MONTHLY P&amp;L'!Q27)</f>
        <v>0.5</v>
      </c>
      <c r="S27" s="98">
        <f>IF(MOD(S7,12)=4,MAX(ASSUMPTION!$G$55,'MONTHLY P&amp;L'!R27*(1+ASSUMPTION!$G$62)),'MONTHLY P&amp;L'!R27)</f>
        <v>0.5</v>
      </c>
      <c r="T27" s="98">
        <f>IF(MOD(T7,12)=4,MAX(ASSUMPTION!$G$55,'MONTHLY P&amp;L'!S27*(1+ASSUMPTION!$G$62)),'MONTHLY P&amp;L'!S27)</f>
        <v>0.5</v>
      </c>
      <c r="U27" s="98">
        <f>IF(MOD(U7,12)=4,MAX(ASSUMPTION!$G$55/DEN,'MONTHLY P&amp;L'!T27*(1+ASSUMPTION!$G$62)),'MONTHLY P&amp;L'!T27)</f>
        <v>0.54</v>
      </c>
      <c r="V27" s="98">
        <f>IF(MOD(V7,12)=4,MAX(ASSUMPTION!$G$55,'MONTHLY P&amp;L'!U27*(1+ASSUMPTION!$G$62)),'MONTHLY P&amp;L'!U27)</f>
        <v>0.54</v>
      </c>
      <c r="W27" s="98">
        <f>IF(MOD(W7,12)=4,MAX(ASSUMPTION!$G$55,'MONTHLY P&amp;L'!V27*(1+ASSUMPTION!$G$62)),'MONTHLY P&amp;L'!V27)</f>
        <v>0.54</v>
      </c>
      <c r="X27" s="98">
        <f>IF(MOD(X7,12)=4,MAX(ASSUMPTION!$G$55,'MONTHLY P&amp;L'!W27*(1+ASSUMPTION!$G$62)),'MONTHLY P&amp;L'!W27)</f>
        <v>0.54</v>
      </c>
      <c r="Y27" s="98">
        <f>IF(MOD(Y7,12)=4,MAX(ASSUMPTION!$G$55,'MONTHLY P&amp;L'!X27*(1+ASSUMPTION!$G$62)),'MONTHLY P&amp;L'!X27)</f>
        <v>0.54</v>
      </c>
      <c r="Z27" s="98">
        <f>IF(MOD(Z7,12)=4,MAX(ASSUMPTION!$G$55,'MONTHLY P&amp;L'!Y27*(1+ASSUMPTION!$G$62)),'MONTHLY P&amp;L'!Y27)</f>
        <v>0.54</v>
      </c>
      <c r="AA27" s="98">
        <f>IF(MOD(AA7,12)=4,MAX(ASSUMPTION!$G$55,'MONTHLY P&amp;L'!Z27*(1+ASSUMPTION!$G$62)),'MONTHLY P&amp;L'!Z27)</f>
        <v>0.54</v>
      </c>
      <c r="AB27" s="98">
        <f>IF(MOD(AB7,12)=4,MAX(ASSUMPTION!$G$55,'MONTHLY P&amp;L'!AA27*(1+ASSUMPTION!$G$62)),'MONTHLY P&amp;L'!AA27)</f>
        <v>0.54</v>
      </c>
      <c r="AC27" s="98">
        <f>IF(MOD(AC7,12)=4,MAX(ASSUMPTION!$G$55,'MONTHLY P&amp;L'!AB27*(1+ASSUMPTION!$G$62)),'MONTHLY P&amp;L'!AB27)</f>
        <v>0.54</v>
      </c>
      <c r="AD27" s="98">
        <f>IF(MOD(AD7,12)=4,MAX(ASSUMPTION!$G$55,'MONTHLY P&amp;L'!AC27*(1+ASSUMPTION!$G$62)),'MONTHLY P&amp;L'!AC27)</f>
        <v>0.54</v>
      </c>
      <c r="AE27" s="98">
        <f>IF(MOD(AE7,12)=4,MAX(ASSUMPTION!$G$55,'MONTHLY P&amp;L'!AD27*(1+ASSUMPTION!$G$62)),'MONTHLY P&amp;L'!AD27)</f>
        <v>0.54</v>
      </c>
      <c r="AF27" s="98">
        <f>IF(MOD(AF7,12)=4,MAX(ASSUMPTION!$G$55,'MONTHLY P&amp;L'!AE27*(1+ASSUMPTION!$G$62)),'MONTHLY P&amp;L'!AE27)</f>
        <v>0.54</v>
      </c>
      <c r="AG27" s="98">
        <f>IF(MOD(AG7,12)=4,MAX(ASSUMPTION!$G$55/DEN,'MONTHLY P&amp;L'!AF27*(1+ASSUMPTION!$G$62)),'MONTHLY P&amp;L'!AF27)</f>
        <v>0.58320000000000005</v>
      </c>
      <c r="AH27" s="98">
        <f>IF(MOD(AH7,12)=4,MAX(ASSUMPTION!$G$55,'MONTHLY P&amp;L'!AG27*(1+ASSUMPTION!$G$62)),'MONTHLY P&amp;L'!AG27)</f>
        <v>0.58320000000000005</v>
      </c>
      <c r="AI27" s="98">
        <f>IF(MOD(AI7,12)=4,MAX(ASSUMPTION!$G$55,'MONTHLY P&amp;L'!AH27*(1+ASSUMPTION!$G$62)),'MONTHLY P&amp;L'!AH27)</f>
        <v>0.58320000000000005</v>
      </c>
      <c r="AJ27" s="98">
        <f>IF(MOD(AJ7,12)=4,MAX(ASSUMPTION!$G$55,'MONTHLY P&amp;L'!AI27*(1+ASSUMPTION!$G$62)),'MONTHLY P&amp;L'!AI27)</f>
        <v>0.58320000000000005</v>
      </c>
      <c r="AK27" s="98">
        <f>IF(MOD(AK7,12)=4,MAX(ASSUMPTION!$G$55,'MONTHLY P&amp;L'!AJ27*(1+ASSUMPTION!$G$62)),'MONTHLY P&amp;L'!AJ27)</f>
        <v>0.58320000000000005</v>
      </c>
      <c r="AL27" s="98">
        <f>IF(MOD(AL7,12)=4,MAX(ASSUMPTION!$G$55,'MONTHLY P&amp;L'!AK27*(1+ASSUMPTION!$G$62)),'MONTHLY P&amp;L'!AK27)</f>
        <v>0.58320000000000005</v>
      </c>
      <c r="AM27" s="98">
        <f>IF(MOD(AM7,12)=4,MAX(ASSUMPTION!$G$55,'MONTHLY P&amp;L'!AL27*(1+ASSUMPTION!$G$62)),'MONTHLY P&amp;L'!AL27)</f>
        <v>0.58320000000000005</v>
      </c>
      <c r="AN27" s="98">
        <f>IF(MOD(AN7,12)=4,MAX(ASSUMPTION!$G$55,'MONTHLY P&amp;L'!AM27*(1+ASSUMPTION!$G$62)),'MONTHLY P&amp;L'!AM27)</f>
        <v>0.58320000000000005</v>
      </c>
      <c r="AO27" s="98">
        <f>IF(MOD(AO7,12)=4,MAX(ASSUMPTION!$G$55/DEN,'MONTHLY P&amp;L'!AN27*(1+ASSUMPTION!$G$62)),'MONTHLY P&amp;L'!AN27)</f>
        <v>0.58320000000000005</v>
      </c>
    </row>
    <row r="28" spans="1:41" x14ac:dyDescent="0.3">
      <c r="A28" t="str">
        <f>ASSUMPTION!A56</f>
        <v>Marketing cost (per month)</v>
      </c>
      <c r="F28" s="98">
        <f>IF(MOD(F7,12)=4,MAX(ASSUMPTION!$G$56/DEN,'MONTHLY P&amp;L'!E28*(1+ASSUMPTION!$G$62)),'MONTHLY P&amp;L'!E28)</f>
        <v>0</v>
      </c>
      <c r="G28" s="98">
        <f>IF(MOD(G7,12)=4,MAX(ASSUMPTION!$G$56/DEN,'MONTHLY P&amp;L'!F28*(1+ASSUMPTION!$G$62)),'MONTHLY P&amp;L'!F28)</f>
        <v>0</v>
      </c>
      <c r="H28" s="98">
        <f>IF(MOD(H7,12)=4,MAX(ASSUMPTION!$G$56/DEN,'MONTHLY P&amp;L'!G28*(1+ASSUMPTION!$G$62)),'MONTHLY P&amp;L'!G28)</f>
        <v>0</v>
      </c>
      <c r="I28" s="98">
        <f>IF(MOD(I7,12)=4,MAX(ASSUMPTION!$G$56/DEN,'MONTHLY P&amp;L'!H28*(1+ASSUMPTION!$G$62)),'MONTHLY P&amp;L'!H28)</f>
        <v>0.25</v>
      </c>
      <c r="J28" s="98">
        <f>IF(MOD(J7,12)=4,MAX(ASSUMPTION!$G$56/DEN,'MONTHLY P&amp;L'!I28*(1+ASSUMPTION!$G$62)),'MONTHLY P&amp;L'!I28)</f>
        <v>0.25</v>
      </c>
      <c r="K28" s="98">
        <f>IF(MOD(K7,12)=4,MAX(ASSUMPTION!$G$56/DEN,'MONTHLY P&amp;L'!J28*(1+ASSUMPTION!$G$62)),'MONTHLY P&amp;L'!J28)</f>
        <v>0.25</v>
      </c>
      <c r="L28" s="98">
        <f>IF(MOD(L7,12)=4,MAX(ASSUMPTION!$G$56/DEN,'MONTHLY P&amp;L'!K28*(1+ASSUMPTION!$G$62)),'MONTHLY P&amp;L'!K28)</f>
        <v>0.25</v>
      </c>
      <c r="M28" s="98">
        <f>IF(MOD(M7,12)=4,MAX(ASSUMPTION!$G$56/DEN,'MONTHLY P&amp;L'!L28*(1+ASSUMPTION!$G$62)),'MONTHLY P&amp;L'!L28)</f>
        <v>0.25</v>
      </c>
      <c r="N28" s="98">
        <f>IF(MOD(N7,12)=4,MAX(ASSUMPTION!$G$56/DEN,'MONTHLY P&amp;L'!M28*(1+ASSUMPTION!$G$62)),'MONTHLY P&amp;L'!M28)</f>
        <v>0.25</v>
      </c>
      <c r="O28" s="98">
        <f>IF(MOD(O7,12)=4,MAX(ASSUMPTION!$G$56/DEN,'MONTHLY P&amp;L'!N28*(1+ASSUMPTION!$G$62)),'MONTHLY P&amp;L'!N28)</f>
        <v>0.25</v>
      </c>
      <c r="P28" s="98">
        <f>IF(MOD(P7,12)=4,MAX(ASSUMPTION!$G$56/DEN,'MONTHLY P&amp;L'!O28*(1+ASSUMPTION!$G$62)),'MONTHLY P&amp;L'!O28)</f>
        <v>0.25</v>
      </c>
      <c r="Q28" s="98">
        <f>IF(MOD(Q7,12)=4,MAX(ASSUMPTION!$G$56/DEN,'MONTHLY P&amp;L'!P28*(1+ASSUMPTION!$G$62)),'MONTHLY P&amp;L'!P28)</f>
        <v>0.25</v>
      </c>
      <c r="R28" s="98">
        <f>IF(MOD(R7,12)=4,MAX(ASSUMPTION!$G$56/DEN,'MONTHLY P&amp;L'!Q28*(1+ASSUMPTION!$G$62)),'MONTHLY P&amp;L'!Q28)</f>
        <v>0.25</v>
      </c>
      <c r="S28" s="98">
        <f>IF(MOD(S7,12)=4,MAX(ASSUMPTION!$G$56/DEN,'MONTHLY P&amp;L'!R28*(1+ASSUMPTION!$G$62)),'MONTHLY P&amp;L'!R28)</f>
        <v>0.25</v>
      </c>
      <c r="T28" s="98">
        <f>IF(MOD(T7,12)=4,MAX(ASSUMPTION!$G$56/DEN,'MONTHLY P&amp;L'!S28*(1+ASSUMPTION!$G$62)),'MONTHLY P&amp;L'!S28)</f>
        <v>0.25</v>
      </c>
      <c r="U28" s="98">
        <f>IF(MOD(U7,12)=4,MAX(ASSUMPTION!$G$56/DEN,'MONTHLY P&amp;L'!T28*(1+ASSUMPTION!$G$62)),'MONTHLY P&amp;L'!T28)</f>
        <v>0.27</v>
      </c>
      <c r="V28" s="98">
        <f>IF(MOD(V7,12)=4,MAX(ASSUMPTION!$G$56/DEN,'MONTHLY P&amp;L'!U28*(1+ASSUMPTION!$G$62)),'MONTHLY P&amp;L'!U28)</f>
        <v>0.27</v>
      </c>
      <c r="W28" s="98">
        <f>IF(MOD(W7,12)=4,MAX(ASSUMPTION!$G$56/DEN,'MONTHLY P&amp;L'!V28*(1+ASSUMPTION!$G$62)),'MONTHLY P&amp;L'!V28)</f>
        <v>0.27</v>
      </c>
      <c r="X28" s="98">
        <f>IF(MOD(X7,12)=4,MAX(ASSUMPTION!$G$56/DEN,'MONTHLY P&amp;L'!W28*(1+ASSUMPTION!$G$62)),'MONTHLY P&amp;L'!W28)</f>
        <v>0.27</v>
      </c>
      <c r="Y28" s="98">
        <f>IF(MOD(Y7,12)=4,MAX(ASSUMPTION!$G$56/DEN,'MONTHLY P&amp;L'!X28*(1+ASSUMPTION!$G$62)),'MONTHLY P&amp;L'!X28)</f>
        <v>0.27</v>
      </c>
      <c r="Z28" s="98">
        <f>IF(MOD(Z7,12)=4,MAX(ASSUMPTION!$G$56/DEN,'MONTHLY P&amp;L'!Y28*(1+ASSUMPTION!$G$62)),'MONTHLY P&amp;L'!Y28)</f>
        <v>0.27</v>
      </c>
      <c r="AA28" s="98">
        <f>IF(MOD(AA7,12)=4,MAX(ASSUMPTION!$G$56/DEN,'MONTHLY P&amp;L'!Z28*(1+ASSUMPTION!$G$62)),'MONTHLY P&amp;L'!Z28)</f>
        <v>0.27</v>
      </c>
      <c r="AB28" s="98">
        <f>IF(MOD(AB7,12)=4,MAX(ASSUMPTION!$G$56/DEN,'MONTHLY P&amp;L'!AA28*(1+ASSUMPTION!$G$62)),'MONTHLY P&amp;L'!AA28)</f>
        <v>0.27</v>
      </c>
      <c r="AC28" s="98">
        <f>IF(MOD(AC7,12)=4,MAX(ASSUMPTION!$G$56/DEN,'MONTHLY P&amp;L'!AB28*(1+ASSUMPTION!$G$62)),'MONTHLY P&amp;L'!AB28)</f>
        <v>0.27</v>
      </c>
      <c r="AD28" s="98">
        <f>IF(MOD(AD7,12)=4,MAX(ASSUMPTION!$G$56/DEN,'MONTHLY P&amp;L'!AC28*(1+ASSUMPTION!$G$62)),'MONTHLY P&amp;L'!AC28)</f>
        <v>0.27</v>
      </c>
      <c r="AE28" s="98">
        <f>IF(MOD(AE7,12)=4,MAX(ASSUMPTION!$G$56/DEN,'MONTHLY P&amp;L'!AD28*(1+ASSUMPTION!$G$62)),'MONTHLY P&amp;L'!AD28)</f>
        <v>0.27</v>
      </c>
      <c r="AF28" s="98">
        <f>IF(MOD(AF7,12)=4,MAX(ASSUMPTION!$G$56/DEN,'MONTHLY P&amp;L'!AE28*(1+ASSUMPTION!$G$62)),'MONTHLY P&amp;L'!AE28)</f>
        <v>0.27</v>
      </c>
      <c r="AG28" s="98">
        <f>IF(MOD(AG7,12)=4,MAX(ASSUMPTION!$G$56/DEN,'MONTHLY P&amp;L'!AF28*(1+ASSUMPTION!$G$62)),'MONTHLY P&amp;L'!AF28)</f>
        <v>0.29160000000000003</v>
      </c>
      <c r="AH28" s="98">
        <f>IF(MOD(AH7,12)=4,MAX(ASSUMPTION!$G$56/DEN,'MONTHLY P&amp;L'!AG28*(1+ASSUMPTION!$G$62)),'MONTHLY P&amp;L'!AG28)</f>
        <v>0.29160000000000003</v>
      </c>
      <c r="AI28" s="98">
        <f>IF(MOD(AI7,12)=4,MAX(ASSUMPTION!$G$56/DEN,'MONTHLY P&amp;L'!AH28*(1+ASSUMPTION!$G$62)),'MONTHLY P&amp;L'!AH28)</f>
        <v>0.29160000000000003</v>
      </c>
      <c r="AJ28" s="98">
        <f>IF(MOD(AJ7,12)=4,MAX(ASSUMPTION!$G$56/DEN,'MONTHLY P&amp;L'!AI28*(1+ASSUMPTION!$G$62)),'MONTHLY P&amp;L'!AI28)</f>
        <v>0.29160000000000003</v>
      </c>
      <c r="AK28" s="98">
        <f>IF(MOD(AK7,12)=4,MAX(ASSUMPTION!$G$56/DEN,'MONTHLY P&amp;L'!AJ28*(1+ASSUMPTION!$G$62)),'MONTHLY P&amp;L'!AJ28)</f>
        <v>0.29160000000000003</v>
      </c>
      <c r="AL28" s="98">
        <f>IF(MOD(AL7,12)=4,MAX(ASSUMPTION!$G$56/DEN,'MONTHLY P&amp;L'!AK28*(1+ASSUMPTION!$G$62)),'MONTHLY P&amp;L'!AK28)</f>
        <v>0.29160000000000003</v>
      </c>
      <c r="AM28" s="98">
        <f>IF(MOD(AM7,12)=4,MAX(ASSUMPTION!$G$56/DEN,'MONTHLY P&amp;L'!AL28*(1+ASSUMPTION!$G$62)),'MONTHLY P&amp;L'!AL28)</f>
        <v>0.29160000000000003</v>
      </c>
      <c r="AN28" s="98">
        <f>IF(MOD(AN7,12)=4,MAX(ASSUMPTION!$G$56/DEN,'MONTHLY P&amp;L'!AM28*(1+ASSUMPTION!$G$62)),'MONTHLY P&amp;L'!AM28)</f>
        <v>0.29160000000000003</v>
      </c>
      <c r="AO28" s="98">
        <f>IF(MOD(AO7,12)=4,MAX(ASSUMPTION!$G$56/DEN,'MONTHLY P&amp;L'!AN28*(1+ASSUMPTION!$G$62)),'MONTHLY P&amp;L'!AN28)</f>
        <v>0.29160000000000003</v>
      </c>
    </row>
    <row r="29" spans="1:41" x14ac:dyDescent="0.3">
      <c r="A29" t="str">
        <f>ASSUMPTION!A57</f>
        <v>Electricity (Based on area Rs./sq. Ft.)</v>
      </c>
      <c r="F29" s="98">
        <f>IF(MOD(F8,12)=4,MAX((ASSUMPTION!$G$57*ASSUMPTION!$G$67)/DEN,'MONTHLY P&amp;L'!E29*(1+ASSUMPTION!$G$62)),'MONTHLY P&amp;L'!E29)</f>
        <v>0</v>
      </c>
      <c r="G29" s="98">
        <f>IF(MOD(G8,12)=4,MAX((ASSUMPTION!$G$57*ASSUMPTION!$G$67)/DEN,'MONTHLY P&amp;L'!F29*(1+ASSUMPTION!$G$62)),'MONTHLY P&amp;L'!F29)</f>
        <v>0</v>
      </c>
      <c r="H29" s="98">
        <f>IF(MOD(H8,12)=4,MAX((ASSUMPTION!$G$57*ASSUMPTION!$G$67)/DEN,'MONTHLY P&amp;L'!G29*(1+ASSUMPTION!$G$62)),'MONTHLY P&amp;L'!G29)</f>
        <v>0</v>
      </c>
      <c r="I29" s="98">
        <f>IF(MOD(I7,12)=4,MAX((ASSUMPTION!$G$57*ASSUMPTION!$G$67)/DEN,'MONTHLY P&amp;L'!H29*(1+ASSUMPTION!$G$62)),'MONTHLY P&amp;L'!H29)</f>
        <v>0.26600000000000001</v>
      </c>
      <c r="J29" s="98">
        <f>IF(MOD(J8,12)=4,MAX((ASSUMPTION!$G$57*ASSUMPTION!$G$67)/DEN,'MONTHLY P&amp;L'!I29*(1+ASSUMPTION!$G$62)),'MONTHLY P&amp;L'!I29)</f>
        <v>0.26600000000000001</v>
      </c>
      <c r="K29" s="98">
        <f>IF(MOD(K8,12)=4,MAX((ASSUMPTION!$G$57*ASSUMPTION!$G$67)/DEN,'MONTHLY P&amp;L'!J29*(1+ASSUMPTION!$G$62)),'MONTHLY P&amp;L'!J29)</f>
        <v>0.28728000000000004</v>
      </c>
      <c r="L29" s="98">
        <f>IF(MOD(L8,12)=4,MAX((ASSUMPTION!$G$57*ASSUMPTION!$G$67)/DEN,'MONTHLY P&amp;L'!K29*(1+ASSUMPTION!$G$62)),'MONTHLY P&amp;L'!K29)</f>
        <v>0.28728000000000004</v>
      </c>
      <c r="M29" s="98">
        <f>IF(MOD(M8,12)=4,MAX((ASSUMPTION!$G$57*ASSUMPTION!$G$67)/DEN,'MONTHLY P&amp;L'!L29*(1+ASSUMPTION!$G$62)),'MONTHLY P&amp;L'!L29)</f>
        <v>0.28728000000000004</v>
      </c>
      <c r="N29" s="98">
        <f>IF(MOD(N8,12)=4,MAX((ASSUMPTION!$G$57*ASSUMPTION!$G$67)/DEN,'MONTHLY P&amp;L'!M29*(1+ASSUMPTION!$G$62)),'MONTHLY P&amp;L'!M29)</f>
        <v>0.28728000000000004</v>
      </c>
      <c r="O29" s="98">
        <f>IF(MOD(O8,12)=4,MAX((ASSUMPTION!$G$57*ASSUMPTION!$G$67)/DEN,'MONTHLY P&amp;L'!N29*(1+ASSUMPTION!$G$62)),'MONTHLY P&amp;L'!N29)</f>
        <v>0.28728000000000004</v>
      </c>
      <c r="P29" s="98">
        <f>IF(MOD(P8,12)=4,MAX((ASSUMPTION!$G$57*ASSUMPTION!$G$67)/DEN,'MONTHLY P&amp;L'!O29*(1+ASSUMPTION!$G$62)),'MONTHLY P&amp;L'!O29)</f>
        <v>0.28728000000000004</v>
      </c>
      <c r="Q29" s="98">
        <f>IF(MOD(Q8,12)=4,MAX((ASSUMPTION!$G$57*ASSUMPTION!$G$67)/DEN,'MONTHLY P&amp;L'!P29*(1+ASSUMPTION!$G$62)),'MONTHLY P&amp;L'!P29)</f>
        <v>0.28728000000000004</v>
      </c>
      <c r="R29" s="98">
        <f>IF(MOD(R8,12)=4,MAX((ASSUMPTION!$G$57*ASSUMPTION!$G$67)/DEN,'MONTHLY P&amp;L'!Q29*(1+ASSUMPTION!$G$62)),'MONTHLY P&amp;L'!Q29)</f>
        <v>0.28728000000000004</v>
      </c>
      <c r="S29" s="98">
        <f>IF(MOD(S8,12)=4,MAX((ASSUMPTION!$G$57*ASSUMPTION!$G$67)/DEN,'MONTHLY P&amp;L'!R29*(1+ASSUMPTION!$G$62)),'MONTHLY P&amp;L'!R29)</f>
        <v>0.28728000000000004</v>
      </c>
      <c r="T29" s="98">
        <f>IF(MOD(T8,12)=4,MAX((ASSUMPTION!$G$57*ASSUMPTION!$G$67)/DEN,'MONTHLY P&amp;L'!S29*(1+ASSUMPTION!$G$62)),'MONTHLY P&amp;L'!S29)</f>
        <v>0.28728000000000004</v>
      </c>
      <c r="U29" s="98">
        <f>IF(MOD(U8,12)=4,MAX((ASSUMPTION!$G$57*ASSUMPTION!$G$67)/DEN,'MONTHLY P&amp;L'!T29*(1+ASSUMPTION!$G$62)),'MONTHLY P&amp;L'!T29)</f>
        <v>0.28728000000000004</v>
      </c>
      <c r="V29" s="98">
        <f>IF(MOD(V8,12)=4,MAX((ASSUMPTION!$G$57*ASSUMPTION!$G$67)/DEN,'MONTHLY P&amp;L'!U29*(1+ASSUMPTION!$G$62)),'MONTHLY P&amp;L'!U29)</f>
        <v>0.28728000000000004</v>
      </c>
      <c r="W29" s="98">
        <f>IF(MOD(W8,12)=4,MAX((ASSUMPTION!$G$57*ASSUMPTION!$G$67)/DEN,'MONTHLY P&amp;L'!V29*(1+ASSUMPTION!$G$62)),'MONTHLY P&amp;L'!V29)</f>
        <v>0.28728000000000004</v>
      </c>
      <c r="X29" s="98">
        <f>IF(MOD(X8,12)=4,MAX((ASSUMPTION!$G$57*ASSUMPTION!$G$67)/DEN,'MONTHLY P&amp;L'!W29*(1+ASSUMPTION!$G$62)),'MONTHLY P&amp;L'!W29)</f>
        <v>0.31026240000000005</v>
      </c>
      <c r="Y29" s="98">
        <f>IF(MOD(Y8,12)=4,MAX((ASSUMPTION!$G$57*ASSUMPTION!$G$67)/DEN,'MONTHLY P&amp;L'!X29*(1+ASSUMPTION!$G$62)),'MONTHLY P&amp;L'!X29)</f>
        <v>0.31026240000000005</v>
      </c>
      <c r="Z29" s="98">
        <f>IF(MOD(Z8,12)=4,MAX((ASSUMPTION!$G$57*ASSUMPTION!$G$67)/DEN,'MONTHLY P&amp;L'!Y29*(1+ASSUMPTION!$G$62)),'MONTHLY P&amp;L'!Y29)</f>
        <v>0.31026240000000005</v>
      </c>
      <c r="AA29" s="98">
        <f>IF(MOD(AA8,12)=4,MAX((ASSUMPTION!$G$57*ASSUMPTION!$G$67)/DEN,'MONTHLY P&amp;L'!Z29*(1+ASSUMPTION!$G$62)),'MONTHLY P&amp;L'!Z29)</f>
        <v>0.31026240000000005</v>
      </c>
      <c r="AB29" s="98">
        <f>IF(MOD(AB8,12)=4,MAX((ASSUMPTION!$G$57*ASSUMPTION!$G$67)/DEN,'MONTHLY P&amp;L'!AA29*(1+ASSUMPTION!$G$62)),'MONTHLY P&amp;L'!AA29)</f>
        <v>0.33508339200000009</v>
      </c>
      <c r="AC29" s="98">
        <f>IF(MOD(AC8,12)=4,MAX((ASSUMPTION!$G$57*ASSUMPTION!$G$67)/DEN,'MONTHLY P&amp;L'!AB29*(1+ASSUMPTION!$G$62)),'MONTHLY P&amp;L'!AB29)</f>
        <v>0.33508339200000009</v>
      </c>
      <c r="AD29" s="98">
        <f>IF(MOD(AD8,12)=4,MAX((ASSUMPTION!$G$57*ASSUMPTION!$G$67)/DEN,'MONTHLY P&amp;L'!AC29*(1+ASSUMPTION!$G$62)),'MONTHLY P&amp;L'!AC29)</f>
        <v>0.33508339200000009</v>
      </c>
      <c r="AE29" s="98">
        <f>IF(MOD(AE8,12)=4,MAX((ASSUMPTION!$G$57*ASSUMPTION!$G$67)/DEN,'MONTHLY P&amp;L'!AD29*(1+ASSUMPTION!$G$62)),'MONTHLY P&amp;L'!AD29)</f>
        <v>0.33508339200000009</v>
      </c>
      <c r="AF29" s="98">
        <f>IF(MOD(AF8,12)=4,MAX((ASSUMPTION!$G$57*ASSUMPTION!$G$67)/DEN,'MONTHLY P&amp;L'!AE29*(1+ASSUMPTION!$G$62)),'MONTHLY P&amp;L'!AE29)</f>
        <v>0.33508339200000009</v>
      </c>
      <c r="AG29" s="98">
        <f>IF(MOD(AG8,12)=4,MAX((ASSUMPTION!$G$57*ASSUMPTION!$G$67)/DEN,'MONTHLY P&amp;L'!AF29*(1+ASSUMPTION!$G$62)),'MONTHLY P&amp;L'!AF29)</f>
        <v>0.33508339200000009</v>
      </c>
      <c r="AH29" s="98">
        <f>IF(MOD(AH8,12)=4,MAX((ASSUMPTION!$G$57*ASSUMPTION!$G$67)/DEN,'MONTHLY P&amp;L'!AG29*(1+ASSUMPTION!$G$62)),'MONTHLY P&amp;L'!AG29)</f>
        <v>0.33508339200000009</v>
      </c>
      <c r="AI29" s="98">
        <f>IF(MOD(AI8,12)=4,MAX((ASSUMPTION!$G$57*ASSUMPTION!$G$67)/DEN,'MONTHLY P&amp;L'!AH29*(1+ASSUMPTION!$G$62)),'MONTHLY P&amp;L'!AH29)</f>
        <v>0.33508339200000009</v>
      </c>
      <c r="AJ29" s="98">
        <f>IF(MOD(AJ8,12)=4,MAX((ASSUMPTION!$G$57*ASSUMPTION!$G$67)/DEN,'MONTHLY P&amp;L'!AI29*(1+ASSUMPTION!$G$62)),'MONTHLY P&amp;L'!AI29)</f>
        <v>0.33508339200000009</v>
      </c>
      <c r="AK29" s="98">
        <f>IF(MOD(AK8,12)=4,MAX((ASSUMPTION!$G$57*ASSUMPTION!$G$67)/DEN,'MONTHLY P&amp;L'!AJ29*(1+ASSUMPTION!$G$62)),'MONTHLY P&amp;L'!AJ29)</f>
        <v>0.33508339200000009</v>
      </c>
      <c r="AL29" s="98">
        <f>IF(MOD(AL8,12)=4,MAX((ASSUMPTION!$G$57*ASSUMPTION!$G$67)/DEN,'MONTHLY P&amp;L'!AK29*(1+ASSUMPTION!$G$62)),'MONTHLY P&amp;L'!AK29)</f>
        <v>0.33508339200000009</v>
      </c>
      <c r="AM29" s="98">
        <f>IF(MOD(AM8,12)=4,MAX((ASSUMPTION!$G$57*ASSUMPTION!$G$67)/DEN,'MONTHLY P&amp;L'!AL29*(1+ASSUMPTION!$G$62)),'MONTHLY P&amp;L'!AL29)</f>
        <v>0.33508339200000009</v>
      </c>
      <c r="AN29" s="98">
        <f>IF(MOD(AN8,12)=4,MAX((ASSUMPTION!$G$57*ASSUMPTION!$G$67)/DEN,'MONTHLY P&amp;L'!AM29*(1+ASSUMPTION!$G$62)),'MONTHLY P&amp;L'!AM29)</f>
        <v>0.33508339200000009</v>
      </c>
      <c r="AO29" s="98">
        <f>IF(MOD(AO8,12)=4,MAX((ASSUMPTION!$G$57*ASSUMPTION!$G$67)/DEN,'MONTHLY P&amp;L'!AN29*(1+ASSUMPTION!$G$62)),'MONTHLY P&amp;L'!AN29)</f>
        <v>0.36189006336000012</v>
      </c>
    </row>
    <row r="30" spans="1:41" x14ac:dyDescent="0.3">
      <c r="A30" t="str">
        <f>ASSUMPTION!A58</f>
        <v>Phone and internet (per month)</v>
      </c>
      <c r="F30" s="98">
        <f>IF(MOD(F7,12)=4,MAX(ASSUMPTION!$G$58/DEN,'MONTHLY P&amp;L'!E30*(1+ASSUMPTION!$G$62)),'MONTHLY P&amp;L'!E30)</f>
        <v>0</v>
      </c>
      <c r="G30" s="98">
        <f>IF(MOD(G7,12)=4,MAX(ASSUMPTION!$G$58/DEN,'MONTHLY P&amp;L'!F30*(1+ASSUMPTION!$G$62)),'MONTHLY P&amp;L'!F30)</f>
        <v>0</v>
      </c>
      <c r="H30" s="98">
        <f>IF(MOD(H7,12)=4,MAX(ASSUMPTION!$G$58/DEN,'MONTHLY P&amp;L'!G30*(1+ASSUMPTION!$G$62)),'MONTHLY P&amp;L'!G30)</f>
        <v>0</v>
      </c>
      <c r="I30" s="98">
        <f>IF(MOD(I7,12)=4,MAX(ASSUMPTION!$G$58/DEN,'MONTHLY P&amp;L'!H30*(1+ASSUMPTION!$G$62)),'MONTHLY P&amp;L'!H30)</f>
        <v>0.15</v>
      </c>
      <c r="J30" s="98">
        <f>IF(MOD(J7,12)=4,MAX(ASSUMPTION!$G$58/DEN,'MONTHLY P&amp;L'!I30*(1+ASSUMPTION!$G$62)),'MONTHLY P&amp;L'!I30)</f>
        <v>0.15</v>
      </c>
      <c r="K30" s="98">
        <f>IF(MOD(K7,12)=4,MAX(ASSUMPTION!$G$58/DEN,'MONTHLY P&amp;L'!J30*(1+ASSUMPTION!$G$62)),'MONTHLY P&amp;L'!J30)</f>
        <v>0.15</v>
      </c>
      <c r="L30" s="98">
        <f>IF(MOD(L7,12)=4,MAX(ASSUMPTION!$G$58/DEN,'MONTHLY P&amp;L'!K30*(1+ASSUMPTION!$G$62)),'MONTHLY P&amp;L'!K30)</f>
        <v>0.15</v>
      </c>
      <c r="M30" s="98">
        <f>IF(MOD(M7,12)=4,MAX(ASSUMPTION!$G$58/DEN,'MONTHLY P&amp;L'!L30*(1+ASSUMPTION!$G$62)),'MONTHLY P&amp;L'!L30)</f>
        <v>0.15</v>
      </c>
      <c r="N30" s="98">
        <f>IF(MOD(N7,12)=4,MAX(ASSUMPTION!$G$58/DEN,'MONTHLY P&amp;L'!M30*(1+ASSUMPTION!$G$62)),'MONTHLY P&amp;L'!M30)</f>
        <v>0.15</v>
      </c>
      <c r="O30" s="98">
        <f>IF(MOD(O7,12)=4,MAX(ASSUMPTION!$G$58/DEN,'MONTHLY P&amp;L'!N30*(1+ASSUMPTION!$G$62)),'MONTHLY P&amp;L'!N30)</f>
        <v>0.15</v>
      </c>
      <c r="P30" s="98">
        <f>IF(MOD(P7,12)=4,MAX(ASSUMPTION!$G$58/DEN,'MONTHLY P&amp;L'!O30*(1+ASSUMPTION!$G$62)),'MONTHLY P&amp;L'!O30)</f>
        <v>0.15</v>
      </c>
      <c r="Q30" s="98">
        <f>IF(MOD(Q7,12)=4,MAX(ASSUMPTION!$G$58/DEN,'MONTHLY P&amp;L'!P30*(1+ASSUMPTION!$G$62)),'MONTHLY P&amp;L'!P30)</f>
        <v>0.15</v>
      </c>
      <c r="R30" s="98">
        <f>IF(MOD(R7,12)=4,MAX(ASSUMPTION!$G$58/DEN,'MONTHLY P&amp;L'!Q30*(1+ASSUMPTION!$G$62)),'MONTHLY P&amp;L'!Q30)</f>
        <v>0.15</v>
      </c>
      <c r="S30" s="98">
        <f>IF(MOD(S7,12)=4,MAX(ASSUMPTION!$G$58/DEN,'MONTHLY P&amp;L'!R30*(1+ASSUMPTION!$G$62)),'MONTHLY P&amp;L'!R30)</f>
        <v>0.15</v>
      </c>
      <c r="T30" s="98">
        <f>IF(MOD(T7,12)=4,MAX(ASSUMPTION!$G$58/DEN,'MONTHLY P&amp;L'!S30*(1+ASSUMPTION!$G$62)),'MONTHLY P&amp;L'!S30)</f>
        <v>0.15</v>
      </c>
      <c r="U30" s="98">
        <f>IF(MOD(U7,12)=4,MAX(ASSUMPTION!$G$58/DEN,'MONTHLY P&amp;L'!T30*(1+ASSUMPTION!$G$62)),'MONTHLY P&amp;L'!T30)</f>
        <v>0.16200000000000001</v>
      </c>
      <c r="V30" s="98">
        <f>IF(MOD(V7,12)=4,MAX(ASSUMPTION!$G$58/DEN,'MONTHLY P&amp;L'!U30*(1+ASSUMPTION!$G$62)),'MONTHLY P&amp;L'!U30)</f>
        <v>0.16200000000000001</v>
      </c>
      <c r="W30" s="98">
        <f>IF(MOD(W7,12)=4,MAX(ASSUMPTION!$G$58/DEN,'MONTHLY P&amp;L'!V30*(1+ASSUMPTION!$G$62)),'MONTHLY P&amp;L'!V30)</f>
        <v>0.16200000000000001</v>
      </c>
      <c r="X30" s="98">
        <f>IF(MOD(X7,12)=4,MAX(ASSUMPTION!$G$58/DEN,'MONTHLY P&amp;L'!W30*(1+ASSUMPTION!$G$62)),'MONTHLY P&amp;L'!W30)</f>
        <v>0.16200000000000001</v>
      </c>
      <c r="Y30" s="98">
        <f>IF(MOD(Y7,12)=4,MAX(ASSUMPTION!$G$58/DEN,'MONTHLY P&amp;L'!X30*(1+ASSUMPTION!$G$62)),'MONTHLY P&amp;L'!X30)</f>
        <v>0.16200000000000001</v>
      </c>
      <c r="Z30" s="98">
        <f>IF(MOD(Z7,12)=4,MAX(ASSUMPTION!$G$58/DEN,'MONTHLY P&amp;L'!Y30*(1+ASSUMPTION!$G$62)),'MONTHLY P&amp;L'!Y30)</f>
        <v>0.16200000000000001</v>
      </c>
      <c r="AA30" s="98">
        <f>IF(MOD(AA7,12)=4,MAX(ASSUMPTION!$G$58/DEN,'MONTHLY P&amp;L'!Z30*(1+ASSUMPTION!$G$62)),'MONTHLY P&amp;L'!Z30)</f>
        <v>0.16200000000000001</v>
      </c>
      <c r="AB30" s="98">
        <f>IF(MOD(AB7,12)=4,MAX(ASSUMPTION!$G$58/DEN,'MONTHLY P&amp;L'!AA30*(1+ASSUMPTION!$G$62)),'MONTHLY P&amp;L'!AA30)</f>
        <v>0.16200000000000001</v>
      </c>
      <c r="AC30" s="98">
        <f>IF(MOD(AC7,12)=4,MAX(ASSUMPTION!$G$58/DEN,'MONTHLY P&amp;L'!AB30*(1+ASSUMPTION!$G$62)),'MONTHLY P&amp;L'!AB30)</f>
        <v>0.16200000000000001</v>
      </c>
      <c r="AD30" s="98">
        <f>IF(MOD(AD7,12)=4,MAX(ASSUMPTION!$G$58/DEN,'MONTHLY P&amp;L'!AC30*(1+ASSUMPTION!$G$62)),'MONTHLY P&amp;L'!AC30)</f>
        <v>0.16200000000000001</v>
      </c>
      <c r="AE30" s="98">
        <f>IF(MOD(AE7,12)=4,MAX(ASSUMPTION!$G$58/DEN,'MONTHLY P&amp;L'!AD30*(1+ASSUMPTION!$G$62)),'MONTHLY P&amp;L'!AD30)</f>
        <v>0.16200000000000001</v>
      </c>
      <c r="AF30" s="98">
        <f>IF(MOD(AF7,12)=4,MAX(ASSUMPTION!$G$58/DEN,'MONTHLY P&amp;L'!AE30*(1+ASSUMPTION!$G$62)),'MONTHLY P&amp;L'!AE30)</f>
        <v>0.16200000000000001</v>
      </c>
      <c r="AG30" s="98">
        <f>IF(MOD(AG7,12)=4,MAX(ASSUMPTION!$G$58/DEN,'MONTHLY P&amp;L'!AF30*(1+ASSUMPTION!$G$62)),'MONTHLY P&amp;L'!AF30)</f>
        <v>0.17496</v>
      </c>
      <c r="AH30" s="98">
        <f>IF(MOD(AH7,12)=4,MAX(ASSUMPTION!$G$58/DEN,'MONTHLY P&amp;L'!AG30*(1+ASSUMPTION!$G$62)),'MONTHLY P&amp;L'!AG30)</f>
        <v>0.17496</v>
      </c>
      <c r="AI30" s="98">
        <f>IF(MOD(AI7,12)=4,MAX(ASSUMPTION!$G$58/DEN,'MONTHLY P&amp;L'!AH30*(1+ASSUMPTION!$G$62)),'MONTHLY P&amp;L'!AH30)</f>
        <v>0.17496</v>
      </c>
      <c r="AJ30" s="98">
        <f>IF(MOD(AJ7,12)=4,MAX(ASSUMPTION!$G$58/DEN,'MONTHLY P&amp;L'!AI30*(1+ASSUMPTION!$G$62)),'MONTHLY P&amp;L'!AI30)</f>
        <v>0.17496</v>
      </c>
      <c r="AK30" s="98">
        <f>IF(MOD(AK7,12)=4,MAX(ASSUMPTION!$G$58/DEN,'MONTHLY P&amp;L'!AJ30*(1+ASSUMPTION!$G$62)),'MONTHLY P&amp;L'!AJ30)</f>
        <v>0.17496</v>
      </c>
      <c r="AL30" s="98">
        <f>IF(MOD(AL7,12)=4,MAX(ASSUMPTION!$G$58/DEN,'MONTHLY P&amp;L'!AK30*(1+ASSUMPTION!$G$62)),'MONTHLY P&amp;L'!AK30)</f>
        <v>0.17496</v>
      </c>
      <c r="AM30" s="98">
        <f>IF(MOD(AM7,12)=4,MAX(ASSUMPTION!$G$58/DEN,'MONTHLY P&amp;L'!AL30*(1+ASSUMPTION!$G$62)),'MONTHLY P&amp;L'!AL30)</f>
        <v>0.17496</v>
      </c>
      <c r="AN30" s="98">
        <f>IF(MOD(AN7,12)=4,MAX(ASSUMPTION!$G$58/DEN,'MONTHLY P&amp;L'!AM30*(1+ASSUMPTION!$G$62)),'MONTHLY P&amp;L'!AM30)</f>
        <v>0.17496</v>
      </c>
      <c r="AO30" s="98">
        <f>IF(MOD(AO7,12)=4,MAX(ASSUMPTION!$G$58/DEN,'MONTHLY P&amp;L'!AN30*(1+ASSUMPTION!$G$62)),'MONTHLY P&amp;L'!AN30)</f>
        <v>0.17496</v>
      </c>
    </row>
    <row r="31" spans="1:41" x14ac:dyDescent="0.3">
      <c r="A31" t="str">
        <f>ASSUMPTION!A59</f>
        <v>Housekeeping  &amp; Consumables (% of revenue)</v>
      </c>
      <c r="F31" s="98">
        <f>F13*ASSUMPTION!$G$59</f>
        <v>0</v>
      </c>
      <c r="G31" s="98">
        <f>G13*ASSUMPTION!$G$59</f>
        <v>0</v>
      </c>
      <c r="H31" s="98">
        <f>H13*ASSUMPTION!$G$59</f>
        <v>0</v>
      </c>
      <c r="I31" s="98">
        <f>I13*ASSUMPTION!$G$59</f>
        <v>0.49127999999999999</v>
      </c>
      <c r="J31" s="98">
        <f>J13*ASSUMPTION!$G$59</f>
        <v>0.51723040000000009</v>
      </c>
      <c r="K31" s="98">
        <f>K13*ASSUMPTION!$G$59</f>
        <v>0.50290028799999997</v>
      </c>
      <c r="L31" s="98">
        <f>L13*ASSUMPTION!$G$59</f>
        <v>0.53922819456000004</v>
      </c>
      <c r="M31" s="98">
        <f>M13*ASSUMPTION!$G$59</f>
        <v>0.53861043444480017</v>
      </c>
      <c r="N31" s="98">
        <f>N13*ASSUMPTION!$G$59</f>
        <v>0.56064049129856008</v>
      </c>
      <c r="O31" s="98">
        <f>O13*ASSUMPTION!$G$59</f>
        <v>0.5947601320646605</v>
      </c>
      <c r="P31" s="98">
        <f>P13*ASSUMPTION!$G$59</f>
        <v>0.54205924890862112</v>
      </c>
      <c r="Q31" s="98">
        <f>Q13*ASSUMPTION!$G$59</f>
        <v>0.60749643436852818</v>
      </c>
      <c r="R31" s="98">
        <f>R13*ASSUMPTION!$G$59</f>
        <v>0.60696461148605974</v>
      </c>
      <c r="S31" s="98">
        <f>S13*ASSUMPTION!$G$59</f>
        <v>0.66617744524829636</v>
      </c>
      <c r="T31" s="98">
        <f>T13*ASSUMPTION!$G$59</f>
        <v>0.64098104291518876</v>
      </c>
      <c r="U31" s="98">
        <f>U13*ASSUMPTION!$G$59</f>
        <v>0.72575047008793692</v>
      </c>
      <c r="V31" s="98">
        <f>V13*ASSUMPTION!$G$59</f>
        <v>0.74639000409731571</v>
      </c>
      <c r="W31" s="98">
        <f>W13*ASSUMPTION!$G$59</f>
        <v>0.73088572190673207</v>
      </c>
      <c r="X31" s="98">
        <f>X13*ASSUMPTION!$G$59</f>
        <v>0.80770251682620386</v>
      </c>
      <c r="Y31" s="98">
        <f>Y13*ASSUMPTION!$G$59</f>
        <v>0.77254330843188823</v>
      </c>
      <c r="Z31" s="98">
        <f>Z13*ASSUMPTION!$G$59</f>
        <v>0.81541694016897459</v>
      </c>
      <c r="AA31" s="98">
        <f>AA13*ASSUMPTION!$G$59</f>
        <v>0.88150384799793924</v>
      </c>
      <c r="AB31" s="98">
        <f>AB13*ASSUMPTION!$G$59</f>
        <v>0.79629032530830002</v>
      </c>
      <c r="AC31" s="98">
        <f>AC13*ASSUMPTION!$G$59</f>
        <v>0.88640820834237244</v>
      </c>
      <c r="AD31" s="98">
        <f>AD13*ASSUMPTION!$G$59</f>
        <v>0.91443615305841719</v>
      </c>
      <c r="AE31" s="98">
        <f>AE13*ASSUMPTION!$G$59</f>
        <v>0.96468733466886336</v>
      </c>
      <c r="AF31" s="98">
        <f>AF13*ASSUMPTION!$G$59</f>
        <v>0.94066673918716648</v>
      </c>
      <c r="AG31" s="98">
        <f>AG13*ASSUMPTION!$G$59</f>
        <v>1.1052584689314995</v>
      </c>
      <c r="AH31" s="98">
        <f>AH13*ASSUMPTION!$G$59</f>
        <v>1.0716324355673101</v>
      </c>
      <c r="AI31" s="98">
        <f>AI13*ASSUMPTION!$G$59</f>
        <v>1.0761634251972754</v>
      </c>
      <c r="AJ31" s="98">
        <f>AJ13*ASSUMPTION!$G$59</f>
        <v>1.2093197929248252</v>
      </c>
      <c r="AK31" s="98">
        <f>AK13*ASSUMPTION!$G$59</f>
        <v>1.1400316438589175</v>
      </c>
      <c r="AL31" s="98">
        <f>AL13*ASSUMPTION!$G$59</f>
        <v>1.2260484776325025</v>
      </c>
      <c r="AM31" s="98">
        <f>AM13*ASSUMPTION!$G$59</f>
        <v>1.2383846171851527</v>
      </c>
      <c r="AN31" s="98">
        <f>AN13*ASSUMPTION!$G$59</f>
        <v>1.1249352541171416</v>
      </c>
      <c r="AO31" s="98">
        <f>AO13*ASSUMPTION!$G$59</f>
        <v>1.225861249079407</v>
      </c>
    </row>
    <row r="32" spans="1:41" x14ac:dyDescent="0.3">
      <c r="A32" t="str">
        <f>ASSUMPTION!A60</f>
        <v>Payment Settlement Charges (% or revenue)</v>
      </c>
      <c r="F32" s="98">
        <f>F13*ASSUMPTION!$G$60</f>
        <v>0</v>
      </c>
      <c r="G32" s="98">
        <f>G13*ASSUMPTION!$G$60</f>
        <v>0</v>
      </c>
      <c r="H32" s="98">
        <f>H13*ASSUMPTION!$G$60</f>
        <v>0</v>
      </c>
      <c r="I32" s="98">
        <f>I13*ASSUMPTION!$G$60*ASSUMPTION!$G$61</f>
        <v>0.18423</v>
      </c>
      <c r="J32" s="98">
        <f>J13*ASSUMPTION!$G$60*ASSUMPTION!$G$61</f>
        <v>0.19396140000000003</v>
      </c>
      <c r="K32" s="98">
        <f>K13*ASSUMPTION!$G$60*ASSUMPTION!$G$61</f>
        <v>0.18858760799999999</v>
      </c>
      <c r="L32" s="98">
        <f>L13*ASSUMPTION!$G$60*ASSUMPTION!$G$61</f>
        <v>0.20221057296000003</v>
      </c>
      <c r="M32" s="98">
        <f>M13*ASSUMPTION!$G$60*ASSUMPTION!$G$61</f>
        <v>0.20197891291680004</v>
      </c>
      <c r="N32" s="98">
        <f>N13*ASSUMPTION!$G$60*ASSUMPTION!$G$61</f>
        <v>0.21024018423696003</v>
      </c>
      <c r="O32" s="98">
        <f>O13*ASSUMPTION!$G$60*ASSUMPTION!$G$61</f>
        <v>0.22303504952424769</v>
      </c>
      <c r="P32" s="98">
        <f>P13*ASSUMPTION!$G$60*ASSUMPTION!$G$61</f>
        <v>0.20327221834073289</v>
      </c>
      <c r="Q32" s="98">
        <f>Q13*ASSUMPTION!$G$60*ASSUMPTION!$G$61</f>
        <v>0.22781116288819805</v>
      </c>
      <c r="R32" s="98">
        <f>R13*ASSUMPTION!$G$60*ASSUMPTION!$G$61</f>
        <v>0.22761172930727241</v>
      </c>
      <c r="S32" s="98">
        <f>S13*ASSUMPTION!$G$60*ASSUMPTION!$G$61</f>
        <v>0.24981654196811112</v>
      </c>
      <c r="T32" s="98">
        <f>T13*ASSUMPTION!$G$60*ASSUMPTION!$G$61</f>
        <v>0.24036789109319578</v>
      </c>
      <c r="U32" s="98">
        <f>U13*ASSUMPTION!$G$60*ASSUMPTION!$G$61</f>
        <v>0.27215642628297632</v>
      </c>
      <c r="V32" s="98">
        <f>V13*ASSUMPTION!$G$60*ASSUMPTION!$G$61</f>
        <v>0.27989625153649333</v>
      </c>
      <c r="W32" s="98">
        <f>W13*ASSUMPTION!$G$60*ASSUMPTION!$G$61</f>
        <v>0.27408214571502448</v>
      </c>
      <c r="X32" s="98">
        <f>X13*ASSUMPTION!$G$60*ASSUMPTION!$G$61</f>
        <v>0.30288844380982644</v>
      </c>
      <c r="Y32" s="98">
        <f>Y13*ASSUMPTION!$G$60*ASSUMPTION!$G$61</f>
        <v>0.28970374066195809</v>
      </c>
      <c r="Z32" s="98">
        <f>Z13*ASSUMPTION!$G$60*ASSUMPTION!$G$61</f>
        <v>0.30578135256336542</v>
      </c>
      <c r="AA32" s="98">
        <f>AA13*ASSUMPTION!$G$60*ASSUMPTION!$G$61</f>
        <v>0.3305639429992272</v>
      </c>
      <c r="AB32" s="98">
        <f>AB13*ASSUMPTION!$G$60*ASSUMPTION!$G$61</f>
        <v>0.29860887199061248</v>
      </c>
      <c r="AC32" s="98">
        <f>AC13*ASSUMPTION!$G$60*ASSUMPTION!$G$61</f>
        <v>0.33240307812838965</v>
      </c>
      <c r="AD32" s="98">
        <f>AD13*ASSUMPTION!$G$60*ASSUMPTION!$G$61</f>
        <v>0.34291355739690643</v>
      </c>
      <c r="AE32" s="98">
        <f>AE13*ASSUMPTION!$G$60*ASSUMPTION!$G$61</f>
        <v>0.36175775050082376</v>
      </c>
      <c r="AF32" s="98">
        <f>AF13*ASSUMPTION!$G$60*ASSUMPTION!$G$61</f>
        <v>0.35275002719518739</v>
      </c>
      <c r="AG32" s="98">
        <f>AG13*ASSUMPTION!$G$60*ASSUMPTION!$G$61</f>
        <v>0.41447192584931231</v>
      </c>
      <c r="AH32" s="98">
        <f>AH13*ASSUMPTION!$G$60*ASSUMPTION!$G$61</f>
        <v>0.40186216333774127</v>
      </c>
      <c r="AI32" s="98">
        <f>AI13*ASSUMPTION!$G$60*ASSUMPTION!$G$61</f>
        <v>0.40356128444897826</v>
      </c>
      <c r="AJ32" s="98">
        <f>AJ13*ASSUMPTION!$G$60*ASSUMPTION!$G$61</f>
        <v>0.45349492234680938</v>
      </c>
      <c r="AK32" s="98">
        <f>AK13*ASSUMPTION!$G$60*ASSUMPTION!$G$61</f>
        <v>0.42751186644709405</v>
      </c>
      <c r="AL32" s="98">
        <f>AL13*ASSUMPTION!$G$60*ASSUMPTION!$G$61</f>
        <v>0.45976817911218842</v>
      </c>
      <c r="AM32" s="98">
        <f>AM13*ASSUMPTION!$G$60*ASSUMPTION!$G$61</f>
        <v>0.4643942314444322</v>
      </c>
      <c r="AN32" s="98">
        <f>AN13*ASSUMPTION!$G$60*ASSUMPTION!$G$61</f>
        <v>0.42185072029392806</v>
      </c>
      <c r="AO32" s="98">
        <f>AO13*ASSUMPTION!$G$60*ASSUMPTION!$G$61</f>
        <v>0.45969796840477761</v>
      </c>
    </row>
    <row r="33" spans="1:41" s="107" customFormat="1" x14ac:dyDescent="0.3">
      <c r="A33" s="107" t="s">
        <v>126</v>
      </c>
      <c r="F33" s="109">
        <f>SUM(F23:F32)</f>
        <v>0</v>
      </c>
      <c r="G33" s="109">
        <f t="shared" ref="G33:AO33" si="2">SUM(G23:G32)</f>
        <v>0</v>
      </c>
      <c r="H33" s="109">
        <f t="shared" si="2"/>
        <v>0</v>
      </c>
      <c r="I33" s="109">
        <f t="shared" si="2"/>
        <v>9.4261099999999995</v>
      </c>
      <c r="J33" s="109">
        <f t="shared" si="2"/>
        <v>9.6564198000000001</v>
      </c>
      <c r="K33" s="109">
        <f t="shared" si="2"/>
        <v>9.5505200560000016</v>
      </c>
      <c r="L33" s="109">
        <f t="shared" si="2"/>
        <v>9.8729302267200012</v>
      </c>
      <c r="M33" s="109">
        <f t="shared" si="2"/>
        <v>9.8674476056976026</v>
      </c>
      <c r="N33" s="109">
        <f t="shared" si="2"/>
        <v>10.062964360274723</v>
      </c>
      <c r="O33" s="109">
        <f t="shared" si="2"/>
        <v>10.365776172073861</v>
      </c>
      <c r="P33" s="109">
        <f t="shared" si="2"/>
        <v>9.8980558340640137</v>
      </c>
      <c r="Q33" s="109">
        <f t="shared" si="2"/>
        <v>10.478810855020688</v>
      </c>
      <c r="R33" s="109">
        <f t="shared" si="2"/>
        <v>10.474090926938782</v>
      </c>
      <c r="S33" s="109">
        <f t="shared" si="2"/>
        <v>10.999604826578629</v>
      </c>
      <c r="T33" s="109">
        <f t="shared" si="2"/>
        <v>10.775986755872303</v>
      </c>
      <c r="U33" s="109">
        <f t="shared" si="2"/>
        <v>11.91231542203044</v>
      </c>
      <c r="V33" s="109">
        <f t="shared" si="2"/>
        <v>12.095491286363679</v>
      </c>
      <c r="W33" s="109">
        <f t="shared" si="2"/>
        <v>11.957890781922247</v>
      </c>
      <c r="X33" s="109">
        <f t="shared" si="2"/>
        <v>12.662622236832558</v>
      </c>
      <c r="Y33" s="109">
        <f t="shared" si="2"/>
        <v>12.350584262333008</v>
      </c>
      <c r="Z33" s="109">
        <f t="shared" si="2"/>
        <v>12.731087743999648</v>
      </c>
      <c r="AA33" s="109">
        <f t="shared" si="2"/>
        <v>13.317609050981709</v>
      </c>
      <c r="AB33" s="109">
        <f t="shared" si="2"/>
        <v>12.586160029111165</v>
      </c>
      <c r="AC33" s="109">
        <f t="shared" si="2"/>
        <v>13.385956241038555</v>
      </c>
      <c r="AD33" s="109">
        <f t="shared" si="2"/>
        <v>13.634704250393453</v>
      </c>
      <c r="AE33" s="109">
        <f t="shared" si="2"/>
        <v>14.080683487186162</v>
      </c>
      <c r="AF33" s="109">
        <f t="shared" si="2"/>
        <v>13.867500702286101</v>
      </c>
      <c r="AG33" s="109">
        <f t="shared" si="2"/>
        <v>15.742972303767061</v>
      </c>
      <c r="AH33" s="109">
        <f t="shared" si="2"/>
        <v>15.444541257659878</v>
      </c>
      <c r="AI33" s="109">
        <f t="shared" si="2"/>
        <v>15.484753790625822</v>
      </c>
      <c r="AJ33" s="109">
        <f t="shared" si="2"/>
        <v>16.666516554207828</v>
      </c>
      <c r="AK33" s="109">
        <f t="shared" si="2"/>
        <v>16.051584231247894</v>
      </c>
      <c r="AL33" s="109">
        <f t="shared" si="2"/>
        <v>16.814983630988461</v>
      </c>
      <c r="AM33" s="109">
        <f t="shared" si="2"/>
        <v>16.924466869518231</v>
      </c>
      <c r="AN33" s="109">
        <f t="shared" si="2"/>
        <v>15.917603772289636</v>
      </c>
      <c r="AO33" s="109">
        <f t="shared" si="2"/>
        <v>16.840128648939743</v>
      </c>
    </row>
    <row r="35" spans="1:41" s="122" customFormat="1" ht="15" thickBot="1" x14ac:dyDescent="0.35">
      <c r="A35" s="122" t="s">
        <v>127</v>
      </c>
      <c r="F35" s="134">
        <f>F13-F20-F33</f>
        <v>0</v>
      </c>
      <c r="G35" s="134">
        <f t="shared" ref="G35:AO35" si="3">G13-G20-G33</f>
        <v>0</v>
      </c>
      <c r="H35" s="134">
        <f t="shared" si="3"/>
        <v>0</v>
      </c>
      <c r="I35" s="134">
        <f t="shared" si="3"/>
        <v>-2.7231099999999966</v>
      </c>
      <c r="J35" s="134">
        <f t="shared" si="3"/>
        <v>-2.0871437999999944</v>
      </c>
      <c r="K35" s="134">
        <f t="shared" si="3"/>
        <v>-2.4577736559999988</v>
      </c>
      <c r="L35" s="134">
        <f t="shared" si="3"/>
        <v>-1.5592571547199974</v>
      </c>
      <c r="M35" s="134">
        <f t="shared" si="3"/>
        <v>-1.5764097592015993</v>
      </c>
      <c r="N35" s="134">
        <f t="shared" si="3"/>
        <v>-1.024177114461601</v>
      </c>
      <c r="O35" s="134">
        <f t="shared" si="3"/>
        <v>-0.18698115366440149</v>
      </c>
      <c r="P35" s="134">
        <f t="shared" si="3"/>
        <v>-1.4904945346752463</v>
      </c>
      <c r="Q35" s="134">
        <f t="shared" si="3"/>
        <v>0.13770567152682922</v>
      </c>
      <c r="R35" s="134">
        <f t="shared" si="3"/>
        <v>0.12255002404787518</v>
      </c>
      <c r="S35" s="134">
        <f t="shared" si="3"/>
        <v>1.5826544755617995</v>
      </c>
      <c r="T35" s="134">
        <f t="shared" si="3"/>
        <v>0.96584850146326318</v>
      </c>
      <c r="U35" s="134">
        <f t="shared" si="3"/>
        <v>1.8923875323656834</v>
      </c>
      <c r="V35" s="134">
        <f t="shared" si="3"/>
        <v>2.4038799605515635</v>
      </c>
      <c r="W35" s="134">
        <f t="shared" si="3"/>
        <v>2.0228491122598324</v>
      </c>
      <c r="X35" s="134">
        <f t="shared" si="3"/>
        <v>3.8943547446332936</v>
      </c>
      <c r="Y35" s="134">
        <f t="shared" si="3"/>
        <v>3.0323824671430231</v>
      </c>
      <c r="Z35" s="134">
        <f t="shared" si="3"/>
        <v>4.0976192726462379</v>
      </c>
      <c r="AA35" s="134">
        <f t="shared" si="3"/>
        <v>5.7224528158763874</v>
      </c>
      <c r="AB35" s="134">
        <f t="shared" si="3"/>
        <v>3.5905389716195355</v>
      </c>
      <c r="AC35" s="134">
        <f t="shared" si="3"/>
        <v>5.8322837697575505</v>
      </c>
      <c r="AD35" s="134">
        <f t="shared" si="3"/>
        <v>6.5168257291580804</v>
      </c>
      <c r="AE35" s="134">
        <f t="shared" si="3"/>
        <v>7.7648256991694549</v>
      </c>
      <c r="AF35" s="134">
        <f t="shared" si="3"/>
        <v>7.1738467532287373</v>
      </c>
      <c r="AG35" s="134">
        <f t="shared" si="3"/>
        <v>9.9742661306548328</v>
      </c>
      <c r="AH35" s="134">
        <f t="shared" si="3"/>
        <v>9.157329006969583</v>
      </c>
      <c r="AI35" s="134">
        <f t="shared" si="3"/>
        <v>9.2660980681836964</v>
      </c>
      <c r="AJ35" s="134">
        <f t="shared" si="3"/>
        <v>12.55105144586577</v>
      </c>
      <c r="AK35" s="134">
        <f t="shared" si="3"/>
        <v>10.848356764096515</v>
      </c>
      <c r="AL35" s="134">
        <f t="shared" si="3"/>
        <v>12.975837545590078</v>
      </c>
      <c r="AM35" s="134">
        <f t="shared" si="3"/>
        <v>13.283129748091884</v>
      </c>
      <c r="AN35" s="134">
        <f t="shared" si="3"/>
        <v>10.471606720857929</v>
      </c>
      <c r="AO35" s="134">
        <f t="shared" si="3"/>
        <v>12.958858126522347</v>
      </c>
    </row>
    <row r="36" spans="1:41" ht="15" thickTop="1" x14ac:dyDescent="0.3"/>
    <row r="37" spans="1:41" x14ac:dyDescent="0.3">
      <c r="A37" s="87" t="s">
        <v>128</v>
      </c>
      <c r="F37" s="132" t="s">
        <v>129</v>
      </c>
      <c r="G37" s="132" t="s">
        <v>129</v>
      </c>
      <c r="H37" s="132" t="s">
        <v>129</v>
      </c>
      <c r="I37" s="132">
        <f t="shared" ref="I37:AO37" si="4">I35/I13</f>
        <v>-0.11085775932258576</v>
      </c>
      <c r="J37" s="132">
        <f t="shared" si="4"/>
        <v>-8.0704606689784436E-2</v>
      </c>
      <c r="K37" s="132">
        <f t="shared" si="4"/>
        <v>-9.7743974885136614E-2</v>
      </c>
      <c r="L37" s="132">
        <f t="shared" si="4"/>
        <v>-5.7832923814094016E-2</v>
      </c>
      <c r="M37" s="132">
        <f t="shared" si="4"/>
        <v>-5.8536175996165514E-2</v>
      </c>
      <c r="N37" s="132">
        <f t="shared" si="4"/>
        <v>-3.6535966643771789E-2</v>
      </c>
      <c r="O37" s="132">
        <f t="shared" si="4"/>
        <v>-6.2876155809338434E-3</v>
      </c>
      <c r="P37" s="132">
        <f t="shared" si="4"/>
        <v>-5.4993786663587028E-2</v>
      </c>
      <c r="Q37" s="132">
        <f t="shared" si="4"/>
        <v>4.5335466592481182E-3</v>
      </c>
      <c r="R37" s="132">
        <f t="shared" si="4"/>
        <v>4.0381274864717482E-3</v>
      </c>
      <c r="S37" s="132">
        <f t="shared" si="4"/>
        <v>4.7514501934898611E-2</v>
      </c>
      <c r="T37" s="132">
        <f t="shared" si="4"/>
        <v>3.0136569938810472E-2</v>
      </c>
      <c r="U37" s="132">
        <f t="shared" si="4"/>
        <v>5.2149812101021133E-2</v>
      </c>
      <c r="V37" s="132">
        <f t="shared" si="4"/>
        <v>6.4413508952570087E-2</v>
      </c>
      <c r="W37" s="132">
        <f t="shared" si="4"/>
        <v>5.5353362410272042E-2</v>
      </c>
      <c r="X37" s="132">
        <f t="shared" si="4"/>
        <v>9.6430422426707768E-2</v>
      </c>
      <c r="Y37" s="132">
        <f t="shared" si="4"/>
        <v>7.8503882799740146E-2</v>
      </c>
      <c r="Z37" s="132">
        <f t="shared" si="4"/>
        <v>0.10050365820943358</v>
      </c>
      <c r="AA37" s="132">
        <f t="shared" si="4"/>
        <v>0.12983387035401267</v>
      </c>
      <c r="AB37" s="132">
        <f t="shared" si="4"/>
        <v>9.0181655044707099E-2</v>
      </c>
      <c r="AC37" s="132">
        <f t="shared" si="4"/>
        <v>0.13159363180230951</v>
      </c>
      <c r="AD37" s="132">
        <f t="shared" si="4"/>
        <v>0.14253211024874612</v>
      </c>
      <c r="AE37" s="132">
        <f t="shared" si="4"/>
        <v>0.16098118882912033</v>
      </c>
      <c r="AF37" s="132">
        <f t="shared" si="4"/>
        <v>0.15252685046412259</v>
      </c>
      <c r="AG37" s="132">
        <f t="shared" si="4"/>
        <v>0.1804874861587332</v>
      </c>
      <c r="AH37" s="132">
        <f t="shared" si="4"/>
        <v>0.17090428962467522</v>
      </c>
      <c r="AI37" s="132">
        <f t="shared" si="4"/>
        <v>0.1722061510589824</v>
      </c>
      <c r="AJ37" s="132">
        <f t="shared" si="4"/>
        <v>0.20757208340252445</v>
      </c>
      <c r="AK37" s="132">
        <f t="shared" si="4"/>
        <v>0.19031676572372466</v>
      </c>
      <c r="AL37" s="132">
        <f t="shared" si="4"/>
        <v>0.21166924118117089</v>
      </c>
      <c r="AM37" s="132">
        <f t="shared" si="4"/>
        <v>0.21452349397369663</v>
      </c>
      <c r="AN37" s="132">
        <f t="shared" si="4"/>
        <v>0.18617261184646813</v>
      </c>
      <c r="AO37" s="132">
        <f t="shared" si="4"/>
        <v>0.21142454965852206</v>
      </c>
    </row>
    <row r="39" spans="1:41" s="140" customFormat="1" x14ac:dyDescent="0.3">
      <c r="A39" s="141" t="s">
        <v>118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B443-6753-45BF-BD50-87EEA1E67D8D}">
  <dimension ref="A1:F28"/>
  <sheetViews>
    <sheetView topLeftCell="A7" workbookViewId="0">
      <selection activeCell="G28" sqref="G28"/>
    </sheetView>
  </sheetViews>
  <sheetFormatPr defaultRowHeight="14.4" x14ac:dyDescent="0.3"/>
  <cols>
    <col min="1" max="1" width="26" customWidth="1"/>
    <col min="6" max="6" width="9.109375" bestFit="1" customWidth="1"/>
  </cols>
  <sheetData>
    <row r="1" spans="1:6" x14ac:dyDescent="0.3">
      <c r="A1" s="93" t="s">
        <v>131</v>
      </c>
      <c r="B1" s="92" t="str">
        <f>CONVERTER!C1</f>
        <v>LAKHS</v>
      </c>
    </row>
    <row r="7" spans="1:6" ht="15" thickBot="1" x14ac:dyDescent="0.35">
      <c r="C7" s="97">
        <v>0</v>
      </c>
      <c r="F7" s="135"/>
    </row>
    <row r="8" spans="1:6" x14ac:dyDescent="0.3">
      <c r="C8" s="100">
        <v>43922</v>
      </c>
      <c r="F8" s="136"/>
    </row>
    <row r="9" spans="1:6" x14ac:dyDescent="0.3">
      <c r="A9" s="87" t="s">
        <v>130</v>
      </c>
    </row>
    <row r="10" spans="1:6" x14ac:dyDescent="0.3">
      <c r="A10" t="str">
        <f>ASSUMPTION!A79</f>
        <v>Kitchen Equipments and cutlery</v>
      </c>
      <c r="C10" s="98">
        <f>ASSUMPTION!$G$79*ASSUMPTION!$G$70/DEN</f>
        <v>30</v>
      </c>
    </row>
    <row r="11" spans="1:6" x14ac:dyDescent="0.3">
      <c r="A11" t="str">
        <f>ASSUMPTION!A80</f>
        <v>Refrigeration Equipments</v>
      </c>
      <c r="C11" s="98">
        <f>ASSUMPTION!$G$80*ASSUMPTION!$G$70/DEN</f>
        <v>50</v>
      </c>
    </row>
    <row r="12" spans="1:6" x14ac:dyDescent="0.3">
      <c r="A12" t="str">
        <f>ASSUMPTION!A81</f>
        <v>Furniture &amp; Fixtures</v>
      </c>
      <c r="C12" s="98">
        <f>ASSUMPTION!$G$69*ASSUMPTION!$G$81/DEN</f>
        <v>51</v>
      </c>
    </row>
    <row r="13" spans="1:6" x14ac:dyDescent="0.3">
      <c r="A13" t="str">
        <f>ASSUMPTION!A82</f>
        <v>Restaurants Décor</v>
      </c>
      <c r="C13" s="98">
        <f>ASSUMPTION!$G$69*ASSUMPTION!$G$82/DEN</f>
        <v>60</v>
      </c>
    </row>
    <row r="14" spans="1:6" s="87" customFormat="1" x14ac:dyDescent="0.3">
      <c r="A14" s="130" t="s">
        <v>114</v>
      </c>
      <c r="B14" s="130"/>
      <c r="C14" s="129">
        <f>SUM(C10:C13)</f>
        <v>191</v>
      </c>
    </row>
    <row r="15" spans="1:6" s="87" customFormat="1" x14ac:dyDescent="0.3">
      <c r="C15" s="127"/>
    </row>
    <row r="16" spans="1:6" x14ac:dyDescent="0.3">
      <c r="A16" t="s">
        <v>132</v>
      </c>
      <c r="C16">
        <f>ASSUMPTION!$G$83/DEN</f>
        <v>10</v>
      </c>
    </row>
    <row r="17" spans="1:3" x14ac:dyDescent="0.3">
      <c r="A17" t="s">
        <v>133</v>
      </c>
      <c r="C17">
        <f>ASSUMPTION!$G$87/DEN</f>
        <v>24</v>
      </c>
    </row>
    <row r="20" spans="1:3" s="87" customFormat="1" x14ac:dyDescent="0.3">
      <c r="A20" s="130" t="s">
        <v>134</v>
      </c>
      <c r="B20" s="130"/>
      <c r="C20" s="137">
        <f>C14+C16+C17</f>
        <v>225</v>
      </c>
    </row>
    <row r="22" spans="1:3" x14ac:dyDescent="0.3">
      <c r="A22" t="s">
        <v>135</v>
      </c>
    </row>
    <row r="23" spans="1:3" x14ac:dyDescent="0.3">
      <c r="A23" t="s">
        <v>136</v>
      </c>
      <c r="B23" s="138">
        <f>ASSUMPTION!G100</f>
        <v>1</v>
      </c>
      <c r="C23" s="131">
        <f>B23*C20</f>
        <v>225</v>
      </c>
    </row>
    <row r="24" spans="1:3" x14ac:dyDescent="0.3">
      <c r="A24" t="s">
        <v>137</v>
      </c>
      <c r="B24" s="138">
        <f>ASSUMPTION!G101</f>
        <v>0</v>
      </c>
      <c r="C24" s="131">
        <f>B24*C20</f>
        <v>0</v>
      </c>
    </row>
    <row r="26" spans="1:3" ht="15" thickBot="1" x14ac:dyDescent="0.35">
      <c r="A26" s="122" t="s">
        <v>138</v>
      </c>
      <c r="B26" s="122"/>
      <c r="C26" s="134">
        <f>C23+C24</f>
        <v>225</v>
      </c>
    </row>
    <row r="27" spans="1:3" ht="15" thickTop="1" x14ac:dyDescent="0.3"/>
    <row r="28" spans="1:3" s="140" customFormat="1" x14ac:dyDescent="0.3">
      <c r="A28" s="141" t="s">
        <v>118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D9A7-FA3D-48B6-8757-563FF5E9EBE3}">
  <dimension ref="A1:H40"/>
  <sheetViews>
    <sheetView zoomScale="85" zoomScaleNormal="85" workbookViewId="0">
      <selection activeCell="A40" sqref="A40"/>
    </sheetView>
  </sheetViews>
  <sheetFormatPr defaultRowHeight="14.4" x14ac:dyDescent="0.3"/>
  <cols>
    <col min="1" max="1" width="18" customWidth="1"/>
    <col min="5" max="5" width="2.33203125" customWidth="1"/>
    <col min="6" max="6" width="14" style="98" customWidth="1"/>
    <col min="7" max="7" width="14.77734375" style="98" customWidth="1"/>
    <col min="8" max="8" width="15.77734375" style="98" customWidth="1"/>
    <col min="9" max="16384" width="8.88671875" style="98"/>
  </cols>
  <sheetData>
    <row r="1" spans="1:8" customFormat="1" x14ac:dyDescent="0.3">
      <c r="A1" s="93" t="s">
        <v>105</v>
      </c>
      <c r="B1" s="101" t="str">
        <f>CONVERTER!C1</f>
        <v>LAKHS</v>
      </c>
    </row>
    <row r="2" spans="1:8" customFormat="1" x14ac:dyDescent="0.3"/>
    <row r="3" spans="1:8" customFormat="1" x14ac:dyDescent="0.3"/>
    <row r="4" spans="1:8" customFormat="1" x14ac:dyDescent="0.3"/>
    <row r="5" spans="1:8" customFormat="1" x14ac:dyDescent="0.3">
      <c r="F5" s="102">
        <v>1</v>
      </c>
      <c r="G5" s="102">
        <f>F5+1</f>
        <v>2</v>
      </c>
      <c r="H5" s="102">
        <f>G5+1</f>
        <v>3</v>
      </c>
    </row>
    <row r="6" spans="1:8" customFormat="1" x14ac:dyDescent="0.3">
      <c r="F6" s="96">
        <f>EOMONTH(ASSUMPTION!G3,11)</f>
        <v>44286</v>
      </c>
      <c r="G6" s="96">
        <f>EOMONTH(F6,12)</f>
        <v>44651</v>
      </c>
      <c r="H6" s="96">
        <f>EOMONTH(G6,12)</f>
        <v>45016</v>
      </c>
    </row>
    <row r="8" spans="1:8" x14ac:dyDescent="0.3">
      <c r="A8" s="93" t="str">
        <f>'CAPITAL STRUCTURE'!A10</f>
        <v>Kitchen Equipments and cutlery</v>
      </c>
    </row>
    <row r="9" spans="1:8" x14ac:dyDescent="0.3">
      <c r="A9" t="s">
        <v>139</v>
      </c>
      <c r="F9" s="98">
        <v>0</v>
      </c>
      <c r="G9" s="98">
        <f>F13</f>
        <v>26.634246575342466</v>
      </c>
      <c r="H9" s="98">
        <f>G13</f>
        <v>22.639109589041094</v>
      </c>
    </row>
    <row r="10" spans="1:8" x14ac:dyDescent="0.3">
      <c r="A10" t="s">
        <v>140</v>
      </c>
      <c r="F10" s="98">
        <f>'CAPITAL STRUCTURE'!C10</f>
        <v>30</v>
      </c>
      <c r="G10" s="98">
        <v>0</v>
      </c>
      <c r="H10" s="98">
        <v>0</v>
      </c>
    </row>
    <row r="11" spans="1:8" x14ac:dyDescent="0.3">
      <c r="A11" t="s">
        <v>141</v>
      </c>
      <c r="F11" s="98">
        <v>0</v>
      </c>
      <c r="G11" s="98">
        <v>0</v>
      </c>
      <c r="H11" s="98">
        <v>0</v>
      </c>
    </row>
    <row r="12" spans="1:8" x14ac:dyDescent="0.3">
      <c r="A12" t="s">
        <v>142</v>
      </c>
      <c r="F12" s="98">
        <f>(F9+F10-F11)*ASSUMPTION!$G$96*MIN(365,F$6-ASSUMPTION!$G$5)/365</f>
        <v>3.3657534246575342</v>
      </c>
      <c r="G12" s="98">
        <f>(G9+G10-G11)*ASSUMPTION!$G$96*MIN(365,G$6-ASSUMPTION!$G$5)/365</f>
        <v>3.9951369863013704</v>
      </c>
      <c r="H12" s="98">
        <f>(H9+H10-H11)*ASSUMPTION!$G$96*MIN(365,H$6-ASSUMPTION!$G$5)/365</f>
        <v>3.3958664383561636</v>
      </c>
    </row>
    <row r="13" spans="1:8" s="123" customFormat="1" ht="15" thickBot="1" x14ac:dyDescent="0.35">
      <c r="A13" s="122" t="s">
        <v>143</v>
      </c>
      <c r="B13" s="122"/>
      <c r="C13" s="122"/>
      <c r="D13" s="122"/>
      <c r="E13" s="122"/>
      <c r="F13" s="123">
        <f>F9+F10-F11-F12</f>
        <v>26.634246575342466</v>
      </c>
      <c r="G13" s="123">
        <f>G9+G10-G11-G12</f>
        <v>22.639109589041094</v>
      </c>
      <c r="H13" s="123">
        <f>H9+H10-H11-H12</f>
        <v>19.243243150684933</v>
      </c>
    </row>
    <row r="14" spans="1:8" ht="15" thickTop="1" x14ac:dyDescent="0.3"/>
    <row r="16" spans="1:8" x14ac:dyDescent="0.3">
      <c r="A16" s="93" t="str">
        <f>'CAPITAL STRUCTURE'!A11</f>
        <v>Refrigeration Equipments</v>
      </c>
    </row>
    <row r="17" spans="1:8" x14ac:dyDescent="0.3">
      <c r="A17" t="s">
        <v>139</v>
      </c>
      <c r="F17" s="98">
        <v>0</v>
      </c>
      <c r="G17" s="98">
        <f>F21</f>
        <v>44.390410958904113</v>
      </c>
      <c r="H17" s="98">
        <f>G21</f>
        <v>37.731849315068494</v>
      </c>
    </row>
    <row r="18" spans="1:8" x14ac:dyDescent="0.3">
      <c r="A18" t="s">
        <v>140</v>
      </c>
      <c r="F18" s="98">
        <f>'CAPITAL STRUCTURE'!C11</f>
        <v>50</v>
      </c>
      <c r="G18" s="98">
        <v>0</v>
      </c>
      <c r="H18" s="98">
        <v>0</v>
      </c>
    </row>
    <row r="19" spans="1:8" x14ac:dyDescent="0.3">
      <c r="A19" t="s">
        <v>141</v>
      </c>
      <c r="F19" s="98">
        <v>0</v>
      </c>
      <c r="G19" s="98">
        <v>0</v>
      </c>
      <c r="H19" s="98">
        <v>0</v>
      </c>
    </row>
    <row r="20" spans="1:8" x14ac:dyDescent="0.3">
      <c r="A20" t="s">
        <v>142</v>
      </c>
      <c r="F20" s="98">
        <f>(F17+F18-F19)*ASSUMPTION!$G$96*MIN(365,F$6-ASSUMPTION!$G$5)/365</f>
        <v>5.6095890410958908</v>
      </c>
      <c r="G20" s="98">
        <f>(G17+G18-G19)*ASSUMPTION!$G$96*MIN(365,G$6-ASSUMPTION!$G$5)/365</f>
        <v>6.6585616438356166</v>
      </c>
      <c r="H20" s="98">
        <f>(H17+H18-H19)*ASSUMPTION!$G$96*MIN(365,H$6-ASSUMPTION!$G$5)/365</f>
        <v>5.6597773972602736</v>
      </c>
    </row>
    <row r="21" spans="1:8" s="190" customFormat="1" ht="15" thickBot="1" x14ac:dyDescent="0.35">
      <c r="A21" s="122" t="s">
        <v>143</v>
      </c>
      <c r="B21" s="189"/>
      <c r="C21" s="189"/>
      <c r="D21" s="189"/>
      <c r="E21" s="189"/>
      <c r="F21" s="123">
        <f t="shared" ref="F21:H21" si="0">F17+F18-F19-F20</f>
        <v>44.390410958904113</v>
      </c>
      <c r="G21" s="123">
        <f t="shared" si="0"/>
        <v>37.731849315068494</v>
      </c>
      <c r="H21" s="123">
        <f t="shared" si="0"/>
        <v>32.072071917808223</v>
      </c>
    </row>
    <row r="22" spans="1:8" ht="15" thickTop="1" x14ac:dyDescent="0.3"/>
    <row r="24" spans="1:8" x14ac:dyDescent="0.3">
      <c r="A24" s="93" t="str">
        <f>'CAPITAL STRUCTURE'!A12</f>
        <v>Furniture &amp; Fixtures</v>
      </c>
    </row>
    <row r="25" spans="1:8" x14ac:dyDescent="0.3">
      <c r="A25" t="s">
        <v>139</v>
      </c>
      <c r="F25" s="98">
        <v>0</v>
      </c>
      <c r="G25" s="98">
        <f>F29</f>
        <v>47.185479452054793</v>
      </c>
      <c r="H25" s="98">
        <f>G29</f>
        <v>42.466931506849313</v>
      </c>
    </row>
    <row r="26" spans="1:8" x14ac:dyDescent="0.3">
      <c r="A26" t="s">
        <v>140</v>
      </c>
      <c r="F26" s="98">
        <f>'CAPITAL STRUCTURE'!C12</f>
        <v>51</v>
      </c>
    </row>
    <row r="27" spans="1:8" x14ac:dyDescent="0.3">
      <c r="A27" t="s">
        <v>141</v>
      </c>
      <c r="F27" s="98">
        <v>0</v>
      </c>
      <c r="G27" s="98">
        <v>0</v>
      </c>
      <c r="H27" s="98">
        <v>0</v>
      </c>
    </row>
    <row r="28" spans="1:8" x14ac:dyDescent="0.3">
      <c r="A28" t="s">
        <v>142</v>
      </c>
      <c r="F28" s="98">
        <f>(F25+F26-F27)*ASSUMPTION!$G$97*MIN(365,F$6-ASSUMPTION!$G$5)/365</f>
        <v>3.814520547945206</v>
      </c>
      <c r="G28" s="98">
        <f>(G25+G26-G27)*ASSUMPTION!$G$97*MIN(365,G$6-ASSUMPTION!$G$5)/365</f>
        <v>4.7185479452054793</v>
      </c>
      <c r="H28" s="98">
        <f>(H25+H26-H27)*ASSUMPTION!$G$97*MIN(365,H$6-ASSUMPTION!$G$5)/365</f>
        <v>4.2466931506849317</v>
      </c>
    </row>
    <row r="29" spans="1:8" s="123" customFormat="1" ht="15" thickBot="1" x14ac:dyDescent="0.35">
      <c r="A29" s="122" t="s">
        <v>143</v>
      </c>
      <c r="B29" s="122"/>
      <c r="C29" s="122"/>
      <c r="D29" s="122"/>
      <c r="E29" s="122"/>
      <c r="F29" s="123">
        <f t="shared" ref="F29" si="1">F25+F26-F27-F28</f>
        <v>47.185479452054793</v>
      </c>
      <c r="G29" s="123">
        <f t="shared" ref="G29" si="2">G25+G26-G27-G28</f>
        <v>42.466931506849313</v>
      </c>
      <c r="H29" s="123">
        <f t="shared" ref="H29" si="3">H25+H26-H27-H28</f>
        <v>38.22023835616438</v>
      </c>
    </row>
    <row r="30" spans="1:8" ht="15" thickTop="1" x14ac:dyDescent="0.3"/>
    <row r="32" spans="1:8" x14ac:dyDescent="0.3">
      <c r="A32" s="93" t="str">
        <f>'CAPITAL STRUCTURE'!A13</f>
        <v>Restaurants Décor</v>
      </c>
    </row>
    <row r="33" spans="1:8" x14ac:dyDescent="0.3">
      <c r="A33" t="s">
        <v>139</v>
      </c>
      <c r="F33" s="98">
        <v>0</v>
      </c>
      <c r="G33" s="98">
        <f t="shared" ref="G33:H33" si="4">F37</f>
        <v>55.512328767123286</v>
      </c>
      <c r="H33" s="98">
        <f t="shared" si="4"/>
        <v>49.961095890410959</v>
      </c>
    </row>
    <row r="34" spans="1:8" x14ac:dyDescent="0.3">
      <c r="A34" t="s">
        <v>140</v>
      </c>
      <c r="F34" s="98">
        <f>'CAPITAL STRUCTURE'!C13</f>
        <v>60</v>
      </c>
      <c r="G34" s="98">
        <v>0</v>
      </c>
      <c r="H34" s="98">
        <v>0</v>
      </c>
    </row>
    <row r="35" spans="1:8" x14ac:dyDescent="0.3">
      <c r="A35" t="s">
        <v>141</v>
      </c>
      <c r="F35" s="98">
        <v>0</v>
      </c>
      <c r="G35" s="98">
        <v>0</v>
      </c>
      <c r="H35" s="98">
        <v>0</v>
      </c>
    </row>
    <row r="36" spans="1:8" x14ac:dyDescent="0.3">
      <c r="A36" t="s">
        <v>142</v>
      </c>
      <c r="F36" s="98">
        <f>(F33+F34-F35)*ASSUMPTION!$G$97*MIN(365,F$6-ASSUMPTION!$G$5)/365</f>
        <v>4.4876712328767123</v>
      </c>
      <c r="G36" s="98">
        <f>(G33+G34-G35)*ASSUMPTION!$G$97*MIN(365,G$6-ASSUMPTION!$G$5)/365</f>
        <v>5.5512328767123291</v>
      </c>
      <c r="H36" s="98">
        <f>(H33+H34-H35)*ASSUMPTION!$G$97*MIN(365,H$6-ASSUMPTION!$G$5)/365</f>
        <v>4.9961095890410965</v>
      </c>
    </row>
    <row r="37" spans="1:8" s="123" customFormat="1" ht="15" thickBot="1" x14ac:dyDescent="0.35">
      <c r="A37" s="122" t="s">
        <v>143</v>
      </c>
      <c r="B37" s="122"/>
      <c r="C37" s="122"/>
      <c r="D37" s="122"/>
      <c r="E37" s="122"/>
      <c r="F37" s="123">
        <f t="shared" ref="F37" si="5">F33+F34-F35-F36</f>
        <v>55.512328767123286</v>
      </c>
      <c r="G37" s="123">
        <f t="shared" ref="G37" si="6">G33+G34-G35-G36</f>
        <v>49.961095890410959</v>
      </c>
      <c r="H37" s="123">
        <f t="shared" ref="H37" si="7">H33+H34-H35-H36</f>
        <v>44.964986301369862</v>
      </c>
    </row>
    <row r="38" spans="1:8" ht="15" thickTop="1" x14ac:dyDescent="0.3"/>
    <row r="40" spans="1:8" s="191" customFormat="1" x14ac:dyDescent="0.3">
      <c r="A40" s="141" t="s">
        <v>118</v>
      </c>
      <c r="B40" s="140"/>
      <c r="C40" s="140"/>
      <c r="D40" s="140"/>
      <c r="E40" s="14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98CE-85F9-4370-87F0-676D471CABD5}">
  <dimension ref="A1:H25"/>
  <sheetViews>
    <sheetView zoomScale="85" zoomScaleNormal="85" workbookViewId="0">
      <selection activeCell="N19" sqref="N19"/>
    </sheetView>
  </sheetViews>
  <sheetFormatPr defaultRowHeight="14.4" x14ac:dyDescent="0.3"/>
  <cols>
    <col min="1" max="1" width="18" customWidth="1"/>
    <col min="6" max="6" width="15.21875" style="98" customWidth="1"/>
    <col min="7" max="7" width="14.77734375" style="98" customWidth="1"/>
    <col min="8" max="8" width="15.77734375" style="98" customWidth="1"/>
    <col min="9" max="16384" width="8.88671875" style="98"/>
  </cols>
  <sheetData>
    <row r="1" spans="1:8" customFormat="1" x14ac:dyDescent="0.3">
      <c r="A1" s="93" t="s">
        <v>105</v>
      </c>
      <c r="B1" s="101" t="str">
        <f>CONVERTER!C1</f>
        <v>LAKHS</v>
      </c>
    </row>
    <row r="2" spans="1:8" customFormat="1" x14ac:dyDescent="0.3"/>
    <row r="3" spans="1:8" customFormat="1" x14ac:dyDescent="0.3"/>
    <row r="4" spans="1:8" customFormat="1" x14ac:dyDescent="0.3"/>
    <row r="5" spans="1:8" customFormat="1" x14ac:dyDescent="0.3">
      <c r="F5" s="102">
        <v>1</v>
      </c>
      <c r="G5" s="102">
        <f>F5+1</f>
        <v>2</v>
      </c>
      <c r="H5" s="102">
        <f>G5+1</f>
        <v>3</v>
      </c>
    </row>
    <row r="6" spans="1:8" customFormat="1" x14ac:dyDescent="0.3">
      <c r="F6" s="96">
        <f>EOMONTH(ASSUMPTION!G3,11)</f>
        <v>44286</v>
      </c>
      <c r="G6" s="96">
        <f>EOMONTH(F6,12)</f>
        <v>44651</v>
      </c>
      <c r="H6" s="96">
        <f>EOMONTH(G6,12)</f>
        <v>45016</v>
      </c>
    </row>
    <row r="7" spans="1:8" x14ac:dyDescent="0.3">
      <c r="A7" s="93" t="s">
        <v>144</v>
      </c>
    </row>
    <row r="8" spans="1:8" x14ac:dyDescent="0.3">
      <c r="A8" s="87" t="s">
        <v>145</v>
      </c>
    </row>
    <row r="9" spans="1:8" x14ac:dyDescent="0.3">
      <c r="A9" s="139" t="str">
        <f>ASSUMPTION!A89</f>
        <v>Alcoholic Beverages</v>
      </c>
      <c r="F9" s="98">
        <f>'MONTHLY P&amp;L'!Q16/30*ASSUMPTION!$G89</f>
        <v>2.7922225506679901</v>
      </c>
      <c r="G9" s="98">
        <f>'MONTHLY P&amp;L'!AC16/30*ASSUMPTION!$G89</f>
        <v>4.1534533029475886</v>
      </c>
      <c r="H9" s="98">
        <f>'MONTHLY P&amp;L'!AO16/30*ASSUMPTION!$G89</f>
        <v>5.7836824648853318</v>
      </c>
    </row>
    <row r="10" spans="1:8" x14ac:dyDescent="0.3">
      <c r="A10" s="139" t="str">
        <f>ASSUMPTION!A90</f>
        <v>Non-Alcoholic Beverages</v>
      </c>
      <c r="F10" s="98">
        <f>'MONTHLY P&amp;L'!Q17/30*ASSUMPTION!$G90</f>
        <v>0.77393948108251065</v>
      </c>
      <c r="G10" s="98">
        <f>'MONTHLY P&amp;L'!AC17/30*ASSUMPTION!$G90</f>
        <v>1.1277936186745523</v>
      </c>
      <c r="H10" s="98">
        <f>'MONTHLY P&amp;L'!AO17/30*ASSUMPTION!$G90</f>
        <v>1.5584251803813611</v>
      </c>
    </row>
    <row r="11" spans="1:8" x14ac:dyDescent="0.3">
      <c r="A11" s="139" t="str">
        <f>ASSUMPTION!A91</f>
        <v>Food</v>
      </c>
      <c r="F11" s="98">
        <f>('MONTHLY P&amp;L'!Q18/30)*ASSUMPTION!$G91</f>
        <v>0.92636727984097988</v>
      </c>
      <c r="G11" s="98">
        <f>('MONTHLY P&amp;L'!AC18/30)*ASSUMPTION!$G91</f>
        <v>1.3407216443376373</v>
      </c>
      <c r="H11" s="98">
        <f>('MONTHLY P&amp;L'!AO18/30)*ASSUMPTION!$G91</f>
        <v>1.8488064754767013</v>
      </c>
    </row>
    <row r="12" spans="1:8" s="127" customFormat="1" ht="15" thickBot="1" x14ac:dyDescent="0.35">
      <c r="A12" s="122" t="s">
        <v>114</v>
      </c>
      <c r="B12" s="122"/>
      <c r="C12" s="122"/>
      <c r="D12" s="122"/>
      <c r="E12" s="122"/>
      <c r="F12" s="123">
        <f>SUM(F9:F11)</f>
        <v>4.4925293115914808</v>
      </c>
      <c r="G12" s="123">
        <f t="shared" ref="G12:H12" si="0">SUM(G9:G11)</f>
        <v>6.6219685659597776</v>
      </c>
      <c r="H12" s="123">
        <f t="shared" si="0"/>
        <v>9.1909141207433933</v>
      </c>
    </row>
    <row r="13" spans="1:8" ht="15" thickTop="1" x14ac:dyDescent="0.3"/>
    <row r="14" spans="1:8" x14ac:dyDescent="0.3">
      <c r="A14" s="87" t="s">
        <v>146</v>
      </c>
    </row>
    <row r="15" spans="1:8" x14ac:dyDescent="0.3">
      <c r="A15" t="s">
        <v>147</v>
      </c>
      <c r="F15" s="98">
        <f>SUMIF('MONTHLY P&amp;L'!$F$8:$AO$8,'WORKING CAPITAL'!F$6,'MONTHLY P&amp;L'!$F$33:$AO$33)/ASSUMPTION!$G$93*30</f>
        <v>10.478810855020688</v>
      </c>
      <c r="G15" s="98">
        <f>SUMIF('MONTHLY P&amp;L'!$F$8:$AO$8,'WORKING CAPITAL'!G$6,'MONTHLY P&amp;L'!$F$33:$AO$33)/ASSUMPTION!$G$93*30</f>
        <v>13.385956241038555</v>
      </c>
      <c r="H15" s="98">
        <f>SUMIF('MONTHLY P&amp;L'!$F$8:$AO$8,'WORKING CAPITAL'!H$6,'MONTHLY P&amp;L'!$F$33:$AO$33)/ASSUMPTION!$G$93*30</f>
        <v>16.840128648939743</v>
      </c>
    </row>
    <row r="16" spans="1:8" x14ac:dyDescent="0.3">
      <c r="A16" t="s">
        <v>148</v>
      </c>
    </row>
    <row r="17" spans="1:8" x14ac:dyDescent="0.3">
      <c r="A17" t="s">
        <v>151</v>
      </c>
      <c r="F17" s="98">
        <f>SUMIF('MONTHLY P&amp;L'!$F$8:$AO$8,'WORKING CAPITAL'!F$6,'MONTHLY P&amp;L'!$F16:$AO16)/ASSUMPTION!$G$92*30</f>
        <v>2.7922225506679901</v>
      </c>
      <c r="G17" s="98">
        <f>SUMIF('MONTHLY P&amp;L'!$F$8:$AO$8,'WORKING CAPITAL'!G$6,'MONTHLY P&amp;L'!$F16:$AO16)/ASSUMPTION!$G$92*30</f>
        <v>4.1534533029475886</v>
      </c>
      <c r="H17" s="98">
        <f>SUMIF('MONTHLY P&amp;L'!$F$8:$AO$8,'WORKING CAPITAL'!H$6,'MONTHLY P&amp;L'!$F16:$AO16)/ASSUMPTION!$G$92*30</f>
        <v>5.7836824648853318</v>
      </c>
    </row>
    <row r="18" spans="1:8" x14ac:dyDescent="0.3">
      <c r="A18" t="s">
        <v>150</v>
      </c>
      <c r="F18" s="98">
        <f>SUMIF('MONTHLY P&amp;L'!$F$8:$AO$8,'WORKING CAPITAL'!F$6,'MONTHLY P&amp;L'!$F17:$AO17)/ASSUMPTION!$G$92*30</f>
        <v>1.5478789621650213</v>
      </c>
      <c r="G18" s="98">
        <f>SUMIF('MONTHLY P&amp;L'!$F$8:$AO$8,'WORKING CAPITAL'!G$6,'MONTHLY P&amp;L'!$F17:$AO17)/ASSUMPTION!$G$92*30</f>
        <v>2.2555872373491046</v>
      </c>
      <c r="H18" s="98">
        <f>SUMIF('MONTHLY P&amp;L'!$F$8:$AO$8,'WORKING CAPITAL'!H$6,'MONTHLY P&amp;L'!$F17:$AO17)/ASSUMPTION!$G$92*30</f>
        <v>3.1168503607627223</v>
      </c>
    </row>
    <row r="19" spans="1:8" x14ac:dyDescent="0.3">
      <c r="A19" t="s">
        <v>149</v>
      </c>
      <c r="F19" s="98">
        <f>SUMIF('MONTHLY P&amp;L'!$F$8:$AO$8,'WORKING CAPITAL'!F$6,'MONTHLY P&amp;L'!$F18:$AO18)/ASSUMPTION!$G$92*30</f>
        <v>5.5582036790458789</v>
      </c>
      <c r="G19" s="98">
        <f>SUMIF('MONTHLY P&amp;L'!$F$8:$AO$8,'WORKING CAPITAL'!G$6,'MONTHLY P&amp;L'!$F18:$AO18)/ASSUMPTION!$G$92*30</f>
        <v>8.0443298660258247</v>
      </c>
      <c r="H19" s="98">
        <f>SUMIF('MONTHLY P&amp;L'!$F$8:$AO$8,'WORKING CAPITAL'!H$6,'MONTHLY P&amp;L'!$F18:$AO18)/ASSUMPTION!$G$92*30</f>
        <v>11.092838852860208</v>
      </c>
    </row>
    <row r="20" spans="1:8" ht="15" thickBot="1" x14ac:dyDescent="0.35">
      <c r="A20" s="122" t="s">
        <v>114</v>
      </c>
      <c r="B20" s="122"/>
      <c r="C20" s="122"/>
      <c r="D20" s="122"/>
      <c r="E20" s="122"/>
      <c r="F20" s="123">
        <f>SUM(F15:F19)</f>
        <v>20.377116046899577</v>
      </c>
      <c r="G20" s="123">
        <f t="shared" ref="G20:H20" si="1">SUM(G15:G19)</f>
        <v>27.839326647361069</v>
      </c>
      <c r="H20" s="123">
        <f t="shared" si="1"/>
        <v>36.833500327448007</v>
      </c>
    </row>
    <row r="21" spans="1:8" ht="15" thickTop="1" x14ac:dyDescent="0.3"/>
    <row r="22" spans="1:8" x14ac:dyDescent="0.3">
      <c r="A22" t="s">
        <v>152</v>
      </c>
      <c r="F22" s="98">
        <f>F12-F20</f>
        <v>-15.884586735308096</v>
      </c>
      <c r="G22" s="98">
        <f t="shared" ref="G22:H22" si="2">G12-G20</f>
        <v>-21.217358081401294</v>
      </c>
      <c r="H22" s="98">
        <f t="shared" si="2"/>
        <v>-27.642586206704614</v>
      </c>
    </row>
    <row r="23" spans="1:8" x14ac:dyDescent="0.3">
      <c r="A23" t="s">
        <v>153</v>
      </c>
      <c r="F23" s="98">
        <f>-(F22-E22)</f>
        <v>15.884586735308096</v>
      </c>
      <c r="G23" s="98">
        <f t="shared" ref="G23:H23" si="3">-(G22-F22)</f>
        <v>5.3327713460931978</v>
      </c>
      <c r="H23" s="98">
        <f t="shared" si="3"/>
        <v>6.4252281253033203</v>
      </c>
    </row>
    <row r="25" spans="1:8" s="191" customFormat="1" x14ac:dyDescent="0.3">
      <c r="A25" s="141" t="s">
        <v>118</v>
      </c>
      <c r="B25" s="140"/>
      <c r="C25" s="140"/>
      <c r="D25" s="140"/>
      <c r="E25" s="14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31A8-833D-47AF-84B8-56A8019E9FA3}">
  <dimension ref="A1:H46"/>
  <sheetViews>
    <sheetView topLeftCell="A25" workbookViewId="0">
      <selection activeCell="A42" sqref="A42"/>
    </sheetView>
  </sheetViews>
  <sheetFormatPr defaultRowHeight="14.4" x14ac:dyDescent="0.3"/>
  <cols>
    <col min="1" max="1" width="18" customWidth="1"/>
    <col min="5" max="5" width="9.109375" bestFit="1" customWidth="1"/>
    <col min="6" max="7" width="12.77734375" style="98" bestFit="1" customWidth="1"/>
    <col min="8" max="8" width="15.77734375" style="98" customWidth="1"/>
    <col min="9" max="16384" width="8.88671875" style="98"/>
  </cols>
  <sheetData>
    <row r="1" spans="1:8" customFormat="1" x14ac:dyDescent="0.3">
      <c r="A1" s="93" t="s">
        <v>105</v>
      </c>
      <c r="B1" s="101" t="str">
        <f>CONVERTER!C1</f>
        <v>LAKHS</v>
      </c>
    </row>
    <row r="2" spans="1:8" customFormat="1" x14ac:dyDescent="0.3"/>
    <row r="3" spans="1:8" customFormat="1" x14ac:dyDescent="0.3"/>
    <row r="4" spans="1:8" customFormat="1" x14ac:dyDescent="0.3"/>
    <row r="5" spans="1:8" customFormat="1" x14ac:dyDescent="0.3">
      <c r="F5" s="102">
        <v>1</v>
      </c>
      <c r="G5" s="102">
        <f>F5+1</f>
        <v>2</v>
      </c>
      <c r="H5" s="102">
        <f>G5+1</f>
        <v>3</v>
      </c>
    </row>
    <row r="6" spans="1:8" customFormat="1" x14ac:dyDescent="0.3">
      <c r="E6" s="192">
        <f>ASSUMPTION!G3</f>
        <v>43922</v>
      </c>
      <c r="F6" s="96">
        <f>EOMONTH(ASSUMPTION!G3,11)</f>
        <v>44286</v>
      </c>
      <c r="G6" s="96">
        <f>EOMONTH(F6,12)</f>
        <v>44651</v>
      </c>
      <c r="H6" s="96">
        <f>EOMONTH(G6,12)</f>
        <v>45016</v>
      </c>
    </row>
    <row r="7" spans="1:8" x14ac:dyDescent="0.3">
      <c r="A7" s="93" t="s">
        <v>119</v>
      </c>
    </row>
    <row r="8" spans="1:8" x14ac:dyDescent="0.3">
      <c r="A8" s="31" t="s">
        <v>12</v>
      </c>
      <c r="F8" s="98">
        <f>SUMIFS('MONTHLY P&amp;L'!$F10:$AO10,'MONTHLY P&amp;L'!$F$8:$AO$8,"&gt;"&amp;'ANNUAL P&amp;L'!E$6,'MONTHLY P&amp;L'!$F$8:$AO$8,"&lt;="&amp;'ANNUAL P&amp;L'!F$6)</f>
        <v>64.585172361104711</v>
      </c>
      <c r="G8" s="98">
        <f>SUMIFS('MONTHLY P&amp;L'!$F10:$AO10,'MONTHLY P&amp;L'!$F$8:$AO$8,"&gt;"&amp;'ANNUAL P&amp;L'!F$6,'MONTHLY P&amp;L'!$F$8:$AO$8,"&lt;="&amp;'ANNUAL P&amp;L'!G$6)</f>
        <v>121.87671607748571</v>
      </c>
      <c r="H8" s="98">
        <f>SUMIFS('MONTHLY P&amp;L'!$F10:$AO10,'MONTHLY P&amp;L'!$F$8:$AO$8,"&gt;"&amp;'ANNUAL P&amp;L'!G$6,'MONTHLY P&amp;L'!$F$8:$AO$8,"&lt;="&amp;'ANNUAL P&amp;L'!H$6)</f>
        <v>180.72178813438074</v>
      </c>
    </row>
    <row r="9" spans="1:8" x14ac:dyDescent="0.3">
      <c r="A9" s="31" t="s">
        <v>13</v>
      </c>
      <c r="F9" s="98">
        <f>SUMIFS('MONTHLY P&amp;L'!$F11:$AO11,'MONTHLY P&amp;L'!$F$8:$AO$8,"&gt;"&amp;'ANNUAL P&amp;L'!E$6,'MONTHLY P&amp;L'!$F$8:$AO$8,"&lt;="&amp;'ANNUAL P&amp;L'!F$6)</f>
        <v>31.165448008708413</v>
      </c>
      <c r="G9" s="98">
        <f>SUMIFS('MONTHLY P&amp;L'!$F11:$AO11,'MONTHLY P&amp;L'!$F$8:$AO$8,"&gt;"&amp;'ANNUAL P&amp;L'!F$6,'MONTHLY P&amp;L'!$F$8:$AO$8,"&lt;="&amp;'ANNUAL P&amp;L'!G$6)</f>
        <v>57.732684827992365</v>
      </c>
      <c r="H9" s="98">
        <f>SUMIFS('MONTHLY P&amp;L'!$F11:$AO11,'MONTHLY P&amp;L'!$F$8:$AO$8,"&gt;"&amp;'ANNUAL P&amp;L'!G$6,'MONTHLY P&amp;L'!$F$8:$AO$8,"&lt;="&amp;'ANNUAL P&amp;L'!H$6)</f>
        <v>84.085990550785382</v>
      </c>
    </row>
    <row r="10" spans="1:8" x14ac:dyDescent="0.3">
      <c r="A10" s="31" t="s">
        <v>120</v>
      </c>
      <c r="F10" s="98">
        <f>SUMIFS('MONTHLY P&amp;L'!$F12:$AO12,'MONTHLY P&amp;L'!$F$8:$AO$8,"&gt;"&amp;'ANNUAL P&amp;L'!E$6,'MONTHLY P&amp;L'!$F$8:$AO$8,"&lt;="&amp;'ANNUAL P&amp;L'!F$6)</f>
        <v>148.95966081244541</v>
      </c>
      <c r="G10" s="98">
        <f>SUMIFS('MONTHLY P&amp;L'!$F12:$AO12,'MONTHLY P&amp;L'!$F$8:$AO$8,"&gt;"&amp;'ANNUAL P&amp;L'!F$6,'MONTHLY P&amp;L'!$F$8:$AO$8,"&lt;="&amp;'ANNUAL P&amp;L'!G$6)</f>
        <v>274.24132123538232</v>
      </c>
      <c r="H10" s="98">
        <f>SUMIFS('MONTHLY P&amp;L'!$F12:$AO12,'MONTHLY P&amp;L'!$F$8:$AO$8,"&gt;"&amp;'ANNUAL P&amp;L'!G$6,'MONTHLY P&amp;L'!$F$8:$AO$8,"&lt;="&amp;'ANNUAL P&amp;L'!H$6)</f>
        <v>397.06350088525784</v>
      </c>
    </row>
    <row r="11" spans="1:8" s="129" customFormat="1" x14ac:dyDescent="0.3">
      <c r="A11" s="128" t="s">
        <v>114</v>
      </c>
      <c r="B11" s="130"/>
      <c r="C11" s="130"/>
      <c r="D11" s="130"/>
      <c r="E11" s="130"/>
      <c r="F11" s="129">
        <f>SUMIFS('MONTHLY P&amp;L'!$F13:$AO13,'MONTHLY P&amp;L'!$F$8:$AO$8,"&gt;"&amp;'ANNUAL P&amp;L'!E$6,'MONTHLY P&amp;L'!$F$8:$AO$8,"&lt;="&amp;'ANNUAL P&amp;L'!F$6)</f>
        <v>244.71028118225851</v>
      </c>
      <c r="G11" s="129">
        <f>SUMIFS('MONTHLY P&amp;L'!$F13:$AO13,'MONTHLY P&amp;L'!$F$8:$AO$8,"&gt;"&amp;'ANNUAL P&amp;L'!F$6,'MONTHLY P&amp;L'!$F$8:$AO$8,"&lt;="&amp;'ANNUAL P&amp;L'!G$6)</f>
        <v>453.85072214086051</v>
      </c>
      <c r="H11" s="129">
        <f>SUMIFS('MONTHLY P&amp;L'!$F13:$AO13,'MONTHLY P&amp;L'!$F$8:$AO$8,"&gt;"&amp;'ANNUAL P&amp;L'!G$6,'MONTHLY P&amp;L'!$F$8:$AO$8,"&lt;="&amp;'ANNUAL P&amp;L'!H$6)</f>
        <v>661.87127957042401</v>
      </c>
    </row>
    <row r="12" spans="1:8" x14ac:dyDescent="0.3">
      <c r="F12" s="98">
        <f>SUMIFS('MONTHLY P&amp;L'!$F14:$AO14,'MONTHLY P&amp;L'!$F$8:$AO$8,"&gt;"&amp;'ANNUAL P&amp;L'!E$6,'MONTHLY P&amp;L'!$F$8:$AO$8,"&lt;="&amp;'ANNUAL P&amp;L'!F$6)</f>
        <v>0</v>
      </c>
      <c r="G12" s="98">
        <f>SUMIFS('MONTHLY P&amp;L'!$F14:$AO14,'MONTHLY P&amp;L'!$F$8:$AO$8,"&gt;"&amp;'ANNUAL P&amp;L'!F$6,'MONTHLY P&amp;L'!$F$8:$AO$8,"&lt;="&amp;'ANNUAL P&amp;L'!G$6)</f>
        <v>0</v>
      </c>
      <c r="H12" s="98">
        <f>SUMIFS('MONTHLY P&amp;L'!$F14:$AO14,'MONTHLY P&amp;L'!$F$8:$AO$8,"&gt;"&amp;'ANNUAL P&amp;L'!G$6,'MONTHLY P&amp;L'!$F$8:$AO$8,"&lt;="&amp;'ANNUAL P&amp;L'!H$6)</f>
        <v>0</v>
      </c>
    </row>
    <row r="13" spans="1:8" x14ac:dyDescent="0.3">
      <c r="A13" s="71" t="s">
        <v>121</v>
      </c>
      <c r="F13" s="98">
        <f>SUMIFS('MONTHLY P&amp;L'!$F15:$AO15,'MONTHLY P&amp;L'!$F$8:$AO$8,"&gt;"&amp;'ANNUAL P&amp;L'!E$6,'MONTHLY P&amp;L'!$F$8:$AO$8,"&lt;="&amp;'ANNUAL P&amp;L'!F$6)</f>
        <v>0</v>
      </c>
      <c r="G13" s="98">
        <f>SUMIFS('MONTHLY P&amp;L'!$F15:$AO15,'MONTHLY P&amp;L'!$F$8:$AO$8,"&gt;"&amp;'ANNUAL P&amp;L'!F$6,'MONTHLY P&amp;L'!$F$8:$AO$8,"&lt;="&amp;'ANNUAL P&amp;L'!G$6)</f>
        <v>0</v>
      </c>
      <c r="H13" s="98">
        <f>SUMIFS('MONTHLY P&amp;L'!$F15:$AO15,'MONTHLY P&amp;L'!$F$8:$AO$8,"&gt;"&amp;'ANNUAL P&amp;L'!G$6,'MONTHLY P&amp;L'!$F$8:$AO$8,"&lt;="&amp;'ANNUAL P&amp;L'!H$6)</f>
        <v>0</v>
      </c>
    </row>
    <row r="14" spans="1:8" x14ac:dyDescent="0.3">
      <c r="A14" t="s">
        <v>24</v>
      </c>
      <c r="F14" s="98">
        <f>SUMIFS('MONTHLY P&amp;L'!$F16:$AO16,'MONTHLY P&amp;L'!$F$8:$AO$8,"&gt;"&amp;'ANNUAL P&amp;L'!E$6,'MONTHLY P&amp;L'!$F$8:$AO$8,"&lt;="&amp;'ANNUAL P&amp;L'!F$6)</f>
        <v>22.604810326386648</v>
      </c>
      <c r="G14" s="98">
        <f>SUMIFS('MONTHLY P&amp;L'!$F16:$AO16,'MONTHLY P&amp;L'!$F$8:$AO$8,"&gt;"&amp;'ANNUAL P&amp;L'!F$6,'MONTHLY P&amp;L'!$F$8:$AO$8,"&lt;="&amp;'ANNUAL P&amp;L'!G$6)</f>
        <v>42.656850627119987</v>
      </c>
      <c r="H14" s="98">
        <f>SUMIFS('MONTHLY P&amp;L'!$F16:$AO16,'MONTHLY P&amp;L'!$F$8:$AO$8,"&gt;"&amp;'ANNUAL P&amp;L'!G$6,'MONTHLY P&amp;L'!$F$8:$AO$8,"&lt;="&amp;'ANNUAL P&amp;L'!H$6)</f>
        <v>63.252625847033258</v>
      </c>
    </row>
    <row r="15" spans="1:8" x14ac:dyDescent="0.3">
      <c r="A15" t="s">
        <v>25</v>
      </c>
      <c r="F15" s="98">
        <f>SUMIFS('MONTHLY P&amp;L'!$F17:$AO17,'MONTHLY P&amp;L'!$F$8:$AO$8,"&gt;"&amp;'ANNUAL P&amp;L'!E$6,'MONTHLY P&amp;L'!$F$8:$AO$8,"&lt;="&amp;'ANNUAL P&amp;L'!F$6)</f>
        <v>12.466179203483364</v>
      </c>
      <c r="G15" s="98">
        <f>SUMIFS('MONTHLY P&amp;L'!$F17:$AO17,'MONTHLY P&amp;L'!$F$8:$AO$8,"&gt;"&amp;'ANNUAL P&amp;L'!F$6,'MONTHLY P&amp;L'!$F$8:$AO$8,"&lt;="&amp;'ANNUAL P&amp;L'!G$6)</f>
        <v>23.093073931196948</v>
      </c>
      <c r="H15" s="98">
        <f>SUMIFS('MONTHLY P&amp;L'!$F17:$AO17,'MONTHLY P&amp;L'!$F$8:$AO$8,"&gt;"&amp;'ANNUAL P&amp;L'!G$6,'MONTHLY P&amp;L'!$F$8:$AO$8,"&lt;="&amp;'ANNUAL P&amp;L'!H$6)</f>
        <v>33.634396220314159</v>
      </c>
    </row>
    <row r="16" spans="1:8" x14ac:dyDescent="0.3">
      <c r="A16" t="s">
        <v>26</v>
      </c>
      <c r="F16" s="98">
        <f>SUMIFS('MONTHLY P&amp;L'!$F18:$AO18,'MONTHLY P&amp;L'!$F$8:$AO$8,"&gt;"&amp;'ANNUAL P&amp;L'!E$6,'MONTHLY P&amp;L'!$F$8:$AO$8,"&lt;="&amp;'ANNUAL P&amp;L'!F$6)</f>
        <v>44.687898243733621</v>
      </c>
      <c r="G16" s="98">
        <f>SUMIFS('MONTHLY P&amp;L'!$F18:$AO18,'MONTHLY P&amp;L'!$F$8:$AO$8,"&gt;"&amp;'ANNUAL P&amp;L'!F$6,'MONTHLY P&amp;L'!$F$8:$AO$8,"&lt;="&amp;'ANNUAL P&amp;L'!G$6)</f>
        <v>82.272396370614686</v>
      </c>
      <c r="H16" s="98">
        <f>SUMIFS('MONTHLY P&amp;L'!$F18:$AO18,'MONTHLY P&amp;L'!$F$8:$AO$8,"&gt;"&amp;'ANNUAL P&amp;L'!G$6,'MONTHLY P&amp;L'!$F$8:$AO$8,"&lt;="&amp;'ANNUAL P&amp;L'!H$6)</f>
        <v>119.11905026557736</v>
      </c>
    </row>
    <row r="17" spans="1:8" x14ac:dyDescent="0.3">
      <c r="A17" t="s">
        <v>122</v>
      </c>
      <c r="F17" s="98">
        <f>SUMIFS('MONTHLY P&amp;L'!$F19:$AO19,'MONTHLY P&amp;L'!$F$8:$AO$8,"&gt;"&amp;'ANNUAL P&amp;L'!E$6,'MONTHLY P&amp;L'!$F$8:$AO$8,"&lt;="&amp;'ANNUAL P&amp;L'!F$6)</f>
        <v>88.74</v>
      </c>
      <c r="G17" s="98">
        <f>SUMIFS('MONTHLY P&amp;L'!$F19:$AO19,'MONTHLY P&amp;L'!$F$8:$AO$8,"&gt;"&amp;'ANNUAL P&amp;L'!F$6,'MONTHLY P&amp;L'!$F$8:$AO$8,"&lt;="&amp;'ANNUAL P&amp;L'!G$6)</f>
        <v>125.41919999999998</v>
      </c>
      <c r="H17" s="98">
        <f>SUMIFS('MONTHLY P&amp;L'!$F19:$AO19,'MONTHLY P&amp;L'!$F$8:$AO$8,"&gt;"&amp;'ANNUAL P&amp;L'!G$6,'MONTHLY P&amp;L'!$F$8:$AO$8,"&lt;="&amp;'ANNUAL P&amp;L'!H$6)</f>
        <v>135.45273599999999</v>
      </c>
    </row>
    <row r="18" spans="1:8" s="129" customFormat="1" x14ac:dyDescent="0.3">
      <c r="A18" s="130" t="s">
        <v>123</v>
      </c>
      <c r="B18" s="130"/>
      <c r="C18" s="130"/>
      <c r="D18" s="130"/>
      <c r="E18" s="130"/>
      <c r="F18" s="129">
        <f>SUMIFS('MONTHLY P&amp;L'!$F20:$AO20,'MONTHLY P&amp;L'!$F$8:$AO$8,"&gt;"&amp;'ANNUAL P&amp;L'!E$6,'MONTHLY P&amp;L'!$F$8:$AO$8,"&lt;="&amp;'ANNUAL P&amp;L'!F$6)</f>
        <v>168.49888777360363</v>
      </c>
      <c r="G18" s="129">
        <f>SUMIFS('MONTHLY P&amp;L'!$F20:$AO20,'MONTHLY P&amp;L'!$F$8:$AO$8,"&gt;"&amp;'ANNUAL P&amp;L'!F$6,'MONTHLY P&amp;L'!$F$8:$AO$8,"&lt;="&amp;'ANNUAL P&amp;L'!G$6)</f>
        <v>273.4415209289316</v>
      </c>
      <c r="H18" s="129">
        <f>SUMIFS('MONTHLY P&amp;L'!$F20:$AO20,'MONTHLY P&amp;L'!$F$8:$AO$8,"&gt;"&amp;'ANNUAL P&amp;L'!G$6,'MONTHLY P&amp;L'!$F$8:$AO$8,"&lt;="&amp;'ANNUAL P&amp;L'!H$6)</f>
        <v>351.45880833292466</v>
      </c>
    </row>
    <row r="19" spans="1:8" x14ac:dyDescent="0.3">
      <c r="F19" s="98">
        <f>SUMIFS('MONTHLY P&amp;L'!$F21:$AO21,'MONTHLY P&amp;L'!$F$8:$AO$8,"&gt;"&amp;'ANNUAL P&amp;L'!E$6,'MONTHLY P&amp;L'!$F$8:$AO$8,"&lt;="&amp;'ANNUAL P&amp;L'!F$6)</f>
        <v>0</v>
      </c>
      <c r="G19" s="98">
        <f>SUMIFS('MONTHLY P&amp;L'!$F21:$AO21,'MONTHLY P&amp;L'!$F$8:$AO$8,"&gt;"&amp;'ANNUAL P&amp;L'!F$6,'MONTHLY P&amp;L'!$F$8:$AO$8,"&lt;="&amp;'ANNUAL P&amp;L'!G$6)</f>
        <v>0</v>
      </c>
      <c r="H19" s="98">
        <f>SUMIFS('MONTHLY P&amp;L'!$F21:$AO21,'MONTHLY P&amp;L'!$F$8:$AO$8,"&gt;"&amp;'ANNUAL P&amp;L'!G$6,'MONTHLY P&amp;L'!$F$8:$AO$8,"&lt;="&amp;'ANNUAL P&amp;L'!H$6)</f>
        <v>0</v>
      </c>
    </row>
    <row r="20" spans="1:8" x14ac:dyDescent="0.3">
      <c r="A20" s="87" t="s">
        <v>124</v>
      </c>
      <c r="F20" s="98">
        <f>SUMIFS('MONTHLY P&amp;L'!$F22:$AO22,'MONTHLY P&amp;L'!$F$8:$AO$8,"&gt;"&amp;'ANNUAL P&amp;L'!E$6,'MONTHLY P&amp;L'!$F$8:$AO$8,"&lt;="&amp;'ANNUAL P&amp;L'!F$6)</f>
        <v>0</v>
      </c>
      <c r="G20" s="98">
        <f>SUMIFS('MONTHLY P&amp;L'!$F22:$AO22,'MONTHLY P&amp;L'!$F$8:$AO$8,"&gt;"&amp;'ANNUAL P&amp;L'!F$6,'MONTHLY P&amp;L'!$F$8:$AO$8,"&lt;="&amp;'ANNUAL P&amp;L'!G$6)</f>
        <v>0</v>
      </c>
      <c r="H20" s="98">
        <f>SUMIFS('MONTHLY P&amp;L'!$F22:$AO22,'MONTHLY P&amp;L'!$F$8:$AO$8,"&gt;"&amp;'ANNUAL P&amp;L'!G$6,'MONTHLY P&amp;L'!$F$8:$AO$8,"&lt;="&amp;'ANNUAL P&amp;L'!H$6)</f>
        <v>0</v>
      </c>
    </row>
    <row r="21" spans="1:8" x14ac:dyDescent="0.3">
      <c r="A21" t="s">
        <v>125</v>
      </c>
      <c r="F21" s="98">
        <f>SUMIFS('MONTHLY P&amp;L'!$F23:$AO23,'MONTHLY P&amp;L'!$F$8:$AO$8,"&gt;"&amp;'ANNUAL P&amp;L'!E$6,'MONTHLY P&amp;L'!$F$8:$AO$8,"&lt;="&amp;'ANNUAL P&amp;L'!F$6)</f>
        <v>34.200000000000003</v>
      </c>
      <c r="G21" s="98">
        <f>SUMIFS('MONTHLY P&amp;L'!$F23:$AO23,'MONTHLY P&amp;L'!$F$8:$AO$8,"&gt;"&amp;'ANNUAL P&amp;L'!F$6,'MONTHLY P&amp;L'!$F$8:$AO$8,"&lt;="&amp;'ANNUAL P&amp;L'!G$6)</f>
        <v>48.335999999999991</v>
      </c>
      <c r="H21" s="98">
        <f>SUMIFS('MONTHLY P&amp;L'!$F23:$AO23,'MONTHLY P&amp;L'!$F$8:$AO$8,"&gt;"&amp;'ANNUAL P&amp;L'!G$6,'MONTHLY P&amp;L'!$F$8:$AO$8,"&lt;="&amp;'ANNUAL P&amp;L'!H$6)</f>
        <v>52.202880000000022</v>
      </c>
    </row>
    <row r="22" spans="1:8" x14ac:dyDescent="0.3">
      <c r="A22" t="s">
        <v>49</v>
      </c>
      <c r="F22" s="98">
        <f>SUMIFS('MONTHLY P&amp;L'!$F24:$AO24,'MONTHLY P&amp;L'!$F$8:$AO$8,"&gt;"&amp;'ANNUAL P&amp;L'!E$6,'MONTHLY P&amp;L'!$F$8:$AO$8,"&lt;="&amp;'ANNUAL P&amp;L'!F$6)</f>
        <v>12.235514059112925</v>
      </c>
      <c r="G22" s="98">
        <f>SUMIFS('MONTHLY P&amp;L'!$F24:$AO24,'MONTHLY P&amp;L'!$F$8:$AO$8,"&gt;"&amp;'ANNUAL P&amp;L'!F$6,'MONTHLY P&amp;L'!$F$8:$AO$8,"&lt;="&amp;'ANNUAL P&amp;L'!G$6)</f>
        <v>22.692536107043018</v>
      </c>
      <c r="H22" s="98">
        <f>SUMIFS('MONTHLY P&amp;L'!$F24:$AO24,'MONTHLY P&amp;L'!$F$8:$AO$8,"&gt;"&amp;'ANNUAL P&amp;L'!G$6,'MONTHLY P&amp;L'!$F$8:$AO$8,"&lt;="&amp;'ANNUAL P&amp;L'!H$6)</f>
        <v>33.093563978521196</v>
      </c>
    </row>
    <row r="23" spans="1:8" x14ac:dyDescent="0.3">
      <c r="A23" t="s">
        <v>50</v>
      </c>
      <c r="F23" s="98">
        <f>SUMIFS('MONTHLY P&amp;L'!$F25:$AO25,'MONTHLY P&amp;L'!$F$8:$AO$8,"&gt;"&amp;'ANNUAL P&amp;L'!E$6,'MONTHLY P&amp;L'!$F$8:$AO$8,"&lt;="&amp;'ANNUAL P&amp;L'!F$6)</f>
        <v>24.471028118225849</v>
      </c>
      <c r="G23" s="98">
        <f>SUMIFS('MONTHLY P&amp;L'!$F25:$AO25,'MONTHLY P&amp;L'!$F$8:$AO$8,"&gt;"&amp;'ANNUAL P&amp;L'!F$6,'MONTHLY P&amp;L'!$F$8:$AO$8,"&lt;="&amp;'ANNUAL P&amp;L'!G$6)</f>
        <v>45.385072214086037</v>
      </c>
      <c r="H23" s="98">
        <f>SUMIFS('MONTHLY P&amp;L'!$F25:$AO25,'MONTHLY P&amp;L'!$F$8:$AO$8,"&gt;"&amp;'ANNUAL P&amp;L'!G$6,'MONTHLY P&amp;L'!$F$8:$AO$8,"&lt;="&amp;'ANNUAL P&amp;L'!H$6)</f>
        <v>66.187127957042392</v>
      </c>
    </row>
    <row r="24" spans="1:8" x14ac:dyDescent="0.3">
      <c r="A24" t="s">
        <v>51</v>
      </c>
      <c r="F24" s="98">
        <f>SUMIFS('MONTHLY P&amp;L'!$F26:$AO26,'MONTHLY P&amp;L'!$F$8:$AO$8,"&gt;"&amp;'ANNUAL P&amp;L'!E$6,'MONTHLY P&amp;L'!$F$8:$AO$8,"&lt;="&amp;'ANNUAL P&amp;L'!F$6)</f>
        <v>0.89999999999999991</v>
      </c>
      <c r="G24" s="98">
        <f>SUMIFS('MONTHLY P&amp;L'!$F26:$AO26,'MONTHLY P&amp;L'!$F$8:$AO$8,"&gt;"&amp;'ANNUAL P&amp;L'!F$6,'MONTHLY P&amp;L'!$F$8:$AO$8,"&lt;="&amp;'ANNUAL P&amp;L'!G$6)</f>
        <v>1.2720000000000002</v>
      </c>
      <c r="H24" s="98">
        <f>SUMIFS('MONTHLY P&amp;L'!$F26:$AO26,'MONTHLY P&amp;L'!$F$8:$AO$8,"&gt;"&amp;'ANNUAL P&amp;L'!G$6,'MONTHLY P&amp;L'!$F$8:$AO$8,"&lt;="&amp;'ANNUAL P&amp;L'!H$6)</f>
        <v>1.3737600000000005</v>
      </c>
    </row>
    <row r="25" spans="1:8" x14ac:dyDescent="0.3">
      <c r="A25" s="91" t="s">
        <v>52</v>
      </c>
      <c r="F25" s="98">
        <f>SUMIFS('MONTHLY P&amp;L'!$F27:$AO27,'MONTHLY P&amp;L'!$F$8:$AO$8,"&gt;"&amp;'ANNUAL P&amp;L'!E$6,'MONTHLY P&amp;L'!$F$8:$AO$8,"&lt;="&amp;'ANNUAL P&amp;L'!F$6)</f>
        <v>4.5</v>
      </c>
      <c r="G25" s="98">
        <f>SUMIFS('MONTHLY P&amp;L'!$F27:$AO27,'MONTHLY P&amp;L'!$F$8:$AO$8,"&gt;"&amp;'ANNUAL P&amp;L'!F$6,'MONTHLY P&amp;L'!$F$8:$AO$8,"&lt;="&amp;'ANNUAL P&amp;L'!G$6)</f>
        <v>6.36</v>
      </c>
      <c r="H25" s="98">
        <f>SUMIFS('MONTHLY P&amp;L'!$F27:$AO27,'MONTHLY P&amp;L'!$F$8:$AO$8,"&gt;"&amp;'ANNUAL P&amp;L'!G$6,'MONTHLY P&amp;L'!$F$8:$AO$8,"&lt;="&amp;'ANNUAL P&amp;L'!H$6)</f>
        <v>6.8687999999999994</v>
      </c>
    </row>
    <row r="26" spans="1:8" x14ac:dyDescent="0.3">
      <c r="A26" t="s">
        <v>53</v>
      </c>
      <c r="F26" s="98">
        <f>SUMIFS('MONTHLY P&amp;L'!$F28:$AO28,'MONTHLY P&amp;L'!$F$8:$AO$8,"&gt;"&amp;'ANNUAL P&amp;L'!E$6,'MONTHLY P&amp;L'!$F$8:$AO$8,"&lt;="&amp;'ANNUAL P&amp;L'!F$6)</f>
        <v>2.25</v>
      </c>
      <c r="G26" s="98">
        <f>SUMIFS('MONTHLY P&amp;L'!$F28:$AO28,'MONTHLY P&amp;L'!$F$8:$AO$8,"&gt;"&amp;'ANNUAL P&amp;L'!F$6,'MONTHLY P&amp;L'!$F$8:$AO$8,"&lt;="&amp;'ANNUAL P&amp;L'!G$6)</f>
        <v>3.18</v>
      </c>
      <c r="H26" s="98">
        <f>SUMIFS('MONTHLY P&amp;L'!$F28:$AO28,'MONTHLY P&amp;L'!$F$8:$AO$8,"&gt;"&amp;'ANNUAL P&amp;L'!G$6,'MONTHLY P&amp;L'!$F$8:$AO$8,"&lt;="&amp;'ANNUAL P&amp;L'!H$6)</f>
        <v>3.4343999999999997</v>
      </c>
    </row>
    <row r="27" spans="1:8" x14ac:dyDescent="0.3">
      <c r="A27" t="s">
        <v>54</v>
      </c>
      <c r="F27" s="98">
        <f>SUMIFS('MONTHLY P&amp;L'!$F29:$AO29,'MONTHLY P&amp;L'!$F$8:$AO$8,"&gt;"&amp;'ANNUAL P&amp;L'!E$6,'MONTHLY P&amp;L'!$F$8:$AO$8,"&lt;="&amp;'ANNUAL P&amp;L'!F$6)</f>
        <v>2.5429599999999999</v>
      </c>
      <c r="G27" s="98">
        <f>SUMIFS('MONTHLY P&amp;L'!$F29:$AO29,'MONTHLY P&amp;L'!$F$8:$AO$8,"&gt;"&amp;'ANNUAL P&amp;L'!F$6,'MONTHLY P&amp;L'!$F$8:$AO$8,"&lt;="&amp;'ANNUAL P&amp;L'!G$6)</f>
        <v>3.6348963840000001</v>
      </c>
      <c r="H27" s="98">
        <f>SUMIFS('MONTHLY P&amp;L'!$F29:$AO29,'MONTHLY P&amp;L'!$F$8:$AO$8,"&gt;"&amp;'ANNUAL P&amp;L'!G$6,'MONTHLY P&amp;L'!$F$8:$AO$8,"&lt;="&amp;'ANNUAL P&amp;L'!H$6)</f>
        <v>4.0478073753600006</v>
      </c>
    </row>
    <row r="28" spans="1:8" x14ac:dyDescent="0.3">
      <c r="A28" t="s">
        <v>55</v>
      </c>
      <c r="F28" s="98">
        <f>SUMIFS('MONTHLY P&amp;L'!$F30:$AO30,'MONTHLY P&amp;L'!$F$8:$AO$8,"&gt;"&amp;'ANNUAL P&amp;L'!E$6,'MONTHLY P&amp;L'!$F$8:$AO$8,"&lt;="&amp;'ANNUAL P&amp;L'!F$6)</f>
        <v>1.3499999999999999</v>
      </c>
      <c r="G28" s="98">
        <f>SUMIFS('MONTHLY P&amp;L'!$F30:$AO30,'MONTHLY P&amp;L'!$F$8:$AO$8,"&gt;"&amp;'ANNUAL P&amp;L'!F$6,'MONTHLY P&amp;L'!$F$8:$AO$8,"&lt;="&amp;'ANNUAL P&amp;L'!G$6)</f>
        <v>1.9079999999999997</v>
      </c>
      <c r="H28" s="98">
        <f>SUMIFS('MONTHLY P&amp;L'!$F30:$AO30,'MONTHLY P&amp;L'!$F$8:$AO$8,"&gt;"&amp;'ANNUAL P&amp;L'!G$6,'MONTHLY P&amp;L'!$F$8:$AO$8,"&lt;="&amp;'ANNUAL P&amp;L'!H$6)</f>
        <v>2.0606400000000002</v>
      </c>
    </row>
    <row r="29" spans="1:8" x14ac:dyDescent="0.3">
      <c r="A29" t="s">
        <v>56</v>
      </c>
      <c r="F29" s="98">
        <f>SUMIFS('MONTHLY P&amp;L'!$F31:$AO31,'MONTHLY P&amp;L'!$F$8:$AO$8,"&gt;"&amp;'ANNUAL P&amp;L'!E$6,'MONTHLY P&amp;L'!$F$8:$AO$8,"&lt;="&amp;'ANNUAL P&amp;L'!F$6)</f>
        <v>4.8942056236451696</v>
      </c>
      <c r="G29" s="98">
        <f>SUMIFS('MONTHLY P&amp;L'!$F31:$AO31,'MONTHLY P&amp;L'!$F$8:$AO$8,"&gt;"&amp;'ANNUAL P&amp;L'!F$6,'MONTHLY P&amp;L'!$F$8:$AO$8,"&lt;="&amp;'ANNUAL P&amp;L'!G$6)</f>
        <v>9.077014442817207</v>
      </c>
      <c r="H29" s="98">
        <f>SUMIFS('MONTHLY P&amp;L'!$F31:$AO31,'MONTHLY P&amp;L'!$F$8:$AO$8,"&gt;"&amp;'ANNUAL P&amp;L'!G$6,'MONTHLY P&amp;L'!$F$8:$AO$8,"&lt;="&amp;'ANNUAL P&amp;L'!H$6)</f>
        <v>13.237425591408478</v>
      </c>
    </row>
    <row r="30" spans="1:8" x14ac:dyDescent="0.3">
      <c r="A30" t="s">
        <v>57</v>
      </c>
      <c r="F30" s="98">
        <f>SUMIFS('MONTHLY P&amp;L'!$F32:$AO32,'MONTHLY P&amp;L'!$F$8:$AO$8,"&gt;"&amp;'ANNUAL P&amp;L'!E$6,'MONTHLY P&amp;L'!$F$8:$AO$8,"&lt;="&amp;'ANNUAL P&amp;L'!F$6)</f>
        <v>1.8353271088669387</v>
      </c>
      <c r="G30" s="98">
        <f>SUMIFS('MONTHLY P&amp;L'!$F32:$AO32,'MONTHLY P&amp;L'!$F$8:$AO$8,"&gt;"&amp;'ANNUAL P&amp;L'!F$6,'MONTHLY P&amp;L'!$F$8:$AO$8,"&lt;="&amp;'ANNUAL P&amp;L'!G$6)</f>
        <v>3.4038804160564529</v>
      </c>
      <c r="H30" s="98">
        <f>SUMIFS('MONTHLY P&amp;L'!$F32:$AO32,'MONTHLY P&amp;L'!$F$8:$AO$8,"&gt;"&amp;'ANNUAL P&amp;L'!G$6,'MONTHLY P&amp;L'!$F$8:$AO$8,"&lt;="&amp;'ANNUAL P&amp;L'!H$6)</f>
        <v>4.9640345967781796</v>
      </c>
    </row>
    <row r="31" spans="1:8" s="109" customFormat="1" x14ac:dyDescent="0.3">
      <c r="A31" s="107" t="s">
        <v>126</v>
      </c>
      <c r="B31" s="107"/>
      <c r="C31" s="107"/>
      <c r="D31" s="107"/>
      <c r="E31" s="107"/>
      <c r="F31" s="109">
        <f>SUMIFS('MONTHLY P&amp;L'!$F33:$AO33,'MONTHLY P&amp;L'!$F$8:$AO$8,"&gt;"&amp;'ANNUAL P&amp;L'!E$6,'MONTHLY P&amp;L'!$F$8:$AO$8,"&lt;="&amp;'ANNUAL P&amp;L'!F$6)</f>
        <v>89.179034909850884</v>
      </c>
      <c r="G31" s="109">
        <f>SUMIFS('MONTHLY P&amp;L'!$F33:$AO33,'MONTHLY P&amp;L'!$F$8:$AO$8,"&gt;"&amp;'ANNUAL P&amp;L'!F$6,'MONTHLY P&amp;L'!$F$8:$AO$8,"&lt;="&amp;'ANNUAL P&amp;L'!G$6)</f>
        <v>145.24939956400272</v>
      </c>
      <c r="H31" s="109">
        <f>SUMIFS('MONTHLY P&amp;L'!$F33:$AO33,'MONTHLY P&amp;L'!$F$8:$AO$8,"&gt;"&amp;'ANNUAL P&amp;L'!G$6,'MONTHLY P&amp;L'!$F$8:$AO$8,"&lt;="&amp;'ANNUAL P&amp;L'!H$6)</f>
        <v>187.47043949911026</v>
      </c>
    </row>
    <row r="32" spans="1:8" x14ac:dyDescent="0.3">
      <c r="F32" s="98">
        <f>SUMIFS('MONTHLY P&amp;L'!$F34:$AO34,'MONTHLY P&amp;L'!$F$8:$AO$8,"&gt;"&amp;'ANNUAL P&amp;L'!E$6,'MONTHLY P&amp;L'!$F$8:$AO$8,"&lt;="&amp;'ANNUAL P&amp;L'!F$6)</f>
        <v>0</v>
      </c>
      <c r="G32" s="98">
        <f>SUMIFS('MONTHLY P&amp;L'!$F34:$AO34,'MONTHLY P&amp;L'!$F$8:$AO$8,"&gt;"&amp;'ANNUAL P&amp;L'!F$6,'MONTHLY P&amp;L'!$F$8:$AO$8,"&lt;="&amp;'ANNUAL P&amp;L'!G$6)</f>
        <v>0</v>
      </c>
      <c r="H32" s="98">
        <f>SUMIFS('MONTHLY P&amp;L'!$F34:$AO34,'MONTHLY P&amp;L'!$F$8:$AO$8,"&gt;"&amp;'ANNUAL P&amp;L'!G$6,'MONTHLY P&amp;L'!$F$8:$AO$8,"&lt;="&amp;'ANNUAL P&amp;L'!H$6)</f>
        <v>0</v>
      </c>
    </row>
    <row r="33" spans="1:8" s="109" customFormat="1" x14ac:dyDescent="0.3">
      <c r="A33" s="107" t="s">
        <v>127</v>
      </c>
      <c r="B33" s="107"/>
      <c r="C33" s="107"/>
      <c r="D33" s="107"/>
      <c r="E33" s="107"/>
      <c r="F33" s="109">
        <f>SUMIFS('MONTHLY P&amp;L'!$F35:$AO35,'MONTHLY P&amp;L'!$F$8:$AO$8,"&gt;"&amp;'ANNUAL P&amp;L'!E$6,'MONTHLY P&amp;L'!$F$8:$AO$8,"&lt;="&amp;'ANNUAL P&amp;L'!F$6)</f>
        <v>-12.967641501196006</v>
      </c>
      <c r="G33" s="109">
        <f>SUMIFS('MONTHLY P&amp;L'!$F35:$AO35,'MONTHLY P&amp;L'!$F$8:$AO$8,"&gt;"&amp;'ANNUAL P&amp;L'!F$6,'MONTHLY P&amp;L'!$F$8:$AO$8,"&lt;="&amp;'ANNUAL P&amp;L'!G$6)</f>
        <v>35.159801647926045</v>
      </c>
      <c r="H33" s="109">
        <f>SUMIFS('MONTHLY P&amp;L'!$F35:$AO35,'MONTHLY P&amp;L'!$F$8:$AO$8,"&gt;"&amp;'ANNUAL P&amp;L'!G$6,'MONTHLY P&amp;L'!$F$8:$AO$8,"&lt;="&amp;'ANNUAL P&amp;L'!H$6)</f>
        <v>122.94203173838892</v>
      </c>
    </row>
    <row r="34" spans="1:8" x14ac:dyDescent="0.3">
      <c r="A34" t="s">
        <v>142</v>
      </c>
      <c r="F34" s="98">
        <f>SUM('FIXED ASSET SCHEDULE'!F12,'FIXED ASSET SCHEDULE'!F20,'FIXED ASSET SCHEDULE'!F28,'FIXED ASSET SCHEDULE'!F36)</f>
        <v>17.277534246575343</v>
      </c>
      <c r="G34" s="98">
        <f>SUM('FIXED ASSET SCHEDULE'!G12,'FIXED ASSET SCHEDULE'!G20,'FIXED ASSET SCHEDULE'!G28,'FIXED ASSET SCHEDULE'!G36)</f>
        <v>20.923479452054796</v>
      </c>
      <c r="H34" s="98">
        <f>SUM('FIXED ASSET SCHEDULE'!H12,'FIXED ASSET SCHEDULE'!H20,'FIXED ASSET SCHEDULE'!H28,'FIXED ASSET SCHEDULE'!H36)</f>
        <v>18.298446575342464</v>
      </c>
    </row>
    <row r="36" spans="1:8" s="109" customFormat="1" x14ac:dyDescent="0.3">
      <c r="A36" s="107" t="s">
        <v>154</v>
      </c>
      <c r="B36" s="107"/>
      <c r="C36" s="107"/>
      <c r="D36" s="107"/>
      <c r="E36" s="107"/>
      <c r="F36" s="109">
        <f>F33-F34</f>
        <v>-30.245175747771349</v>
      </c>
      <c r="G36" s="109">
        <f>G33-G34</f>
        <v>14.236322195871249</v>
      </c>
      <c r="H36" s="109">
        <f>H33-H34</f>
        <v>104.64358516304645</v>
      </c>
    </row>
    <row r="37" spans="1:8" x14ac:dyDescent="0.3">
      <c r="A37" t="s">
        <v>155</v>
      </c>
      <c r="F37" s="98">
        <v>0</v>
      </c>
      <c r="G37" s="98">
        <v>0</v>
      </c>
      <c r="H37" s="98">
        <v>0</v>
      </c>
    </row>
    <row r="39" spans="1:8" s="109" customFormat="1" x14ac:dyDescent="0.3">
      <c r="A39" s="107" t="s">
        <v>156</v>
      </c>
      <c r="B39" s="107"/>
      <c r="C39" s="107"/>
      <c r="D39" s="107"/>
      <c r="E39" s="107"/>
      <c r="F39" s="109">
        <f>F36-F37</f>
        <v>-30.245175747771349</v>
      </c>
      <c r="G39" s="109">
        <f t="shared" ref="G39:H39" si="0">G36-G37</f>
        <v>14.236322195871249</v>
      </c>
      <c r="H39" s="109">
        <f t="shared" si="0"/>
        <v>104.64358516304645</v>
      </c>
    </row>
    <row r="40" spans="1:8" x14ac:dyDescent="0.3">
      <c r="A40" t="s">
        <v>157</v>
      </c>
      <c r="F40" s="98">
        <f>IF(F$39&gt;0,F$39*ASSUMPTION!$G$105,0)</f>
        <v>0</v>
      </c>
      <c r="G40" s="98">
        <f>IF(G$39&gt;0,G$39*ASSUMPTION!$G$105,0)</f>
        <v>3.5832822967007933</v>
      </c>
      <c r="H40" s="98">
        <f>IF(H$39&gt;0,H$39*ASSUMPTION!$G$105,0)</f>
        <v>26.33879038553879</v>
      </c>
    </row>
    <row r="42" spans="1:8" s="123" customFormat="1" ht="15" thickBot="1" x14ac:dyDescent="0.35">
      <c r="A42" s="122" t="s">
        <v>158</v>
      </c>
      <c r="B42" s="122"/>
      <c r="C42" s="122"/>
      <c r="D42" s="122"/>
      <c r="E42" s="122"/>
      <c r="F42" s="123">
        <f>F39-F40</f>
        <v>-30.245175747771349</v>
      </c>
      <c r="G42" s="123">
        <f t="shared" ref="G42:H42" si="1">G39-G40</f>
        <v>10.653039899170455</v>
      </c>
      <c r="H42" s="123">
        <f t="shared" si="1"/>
        <v>78.304794777507666</v>
      </c>
    </row>
    <row r="43" spans="1:8" ht="15" thickTop="1" x14ac:dyDescent="0.3"/>
    <row r="44" spans="1:8" s="123" customFormat="1" ht="15" thickBot="1" x14ac:dyDescent="0.35">
      <c r="A44" s="122" t="s">
        <v>159</v>
      </c>
      <c r="B44" s="122"/>
      <c r="C44" s="122"/>
      <c r="D44" s="122"/>
      <c r="E44" s="122"/>
      <c r="F44" s="193">
        <f>F42/F11</f>
        <v>-0.12359585221204887</v>
      </c>
      <c r="G44" s="193">
        <f t="shared" ref="G44:H44" si="2">G42/G11</f>
        <v>2.347256350925029E-2</v>
      </c>
      <c r="H44" s="193">
        <f t="shared" si="2"/>
        <v>0.11830819253606234</v>
      </c>
    </row>
    <row r="45" spans="1:8" ht="15" thickTop="1" x14ac:dyDescent="0.3"/>
    <row r="46" spans="1:8" s="191" customFormat="1" x14ac:dyDescent="0.3">
      <c r="A46" s="141" t="s">
        <v>118</v>
      </c>
      <c r="B46" s="140"/>
      <c r="C46" s="140"/>
      <c r="D46" s="140"/>
      <c r="E46" s="14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1F46-C925-4577-B9E6-589F328AF00D}">
  <dimension ref="A1:H45"/>
  <sheetViews>
    <sheetView topLeftCell="A16" zoomScale="85" zoomScaleNormal="85" workbookViewId="0">
      <selection activeCell="G48" sqref="G48"/>
    </sheetView>
  </sheetViews>
  <sheetFormatPr defaultRowHeight="14.4" x14ac:dyDescent="0.3"/>
  <cols>
    <col min="1" max="1" width="19.6640625" customWidth="1"/>
    <col min="6" max="6" width="13.33203125" style="98" customWidth="1"/>
    <col min="7" max="7" width="14.77734375" style="98" customWidth="1"/>
    <col min="8" max="8" width="15.77734375" style="98" customWidth="1"/>
    <col min="9" max="16384" width="8.88671875" style="98"/>
  </cols>
  <sheetData>
    <row r="1" spans="1:8" customFormat="1" x14ac:dyDescent="0.3">
      <c r="A1" s="93" t="s">
        <v>105</v>
      </c>
      <c r="B1" s="101" t="str">
        <f>CONVERTER!C1</f>
        <v>LAKHS</v>
      </c>
    </row>
    <row r="2" spans="1:8" customFormat="1" x14ac:dyDescent="0.3"/>
    <row r="3" spans="1:8" customFormat="1" x14ac:dyDescent="0.3"/>
    <row r="4" spans="1:8" customFormat="1" x14ac:dyDescent="0.3"/>
    <row r="5" spans="1:8" customFormat="1" x14ac:dyDescent="0.3">
      <c r="F5" s="102">
        <v>1</v>
      </c>
      <c r="G5" s="102">
        <f>F5+1</f>
        <v>2</v>
      </c>
      <c r="H5" s="102">
        <f>G5+1</f>
        <v>3</v>
      </c>
    </row>
    <row r="6" spans="1:8" customFormat="1" x14ac:dyDescent="0.3">
      <c r="F6" s="96">
        <f>EOMONTH(ASSUMPTION!G3,11)</f>
        <v>44286</v>
      </c>
      <c r="G6" s="96">
        <f>EOMONTH(F6,12)</f>
        <v>44651</v>
      </c>
      <c r="H6" s="96">
        <f>EOMONTH(G6,12)</f>
        <v>45016</v>
      </c>
    </row>
    <row r="7" spans="1:8" x14ac:dyDescent="0.3">
      <c r="A7" s="197" t="s">
        <v>174</v>
      </c>
    </row>
    <row r="8" spans="1:8" x14ac:dyDescent="0.3">
      <c r="A8" s="198" t="s">
        <v>175</v>
      </c>
      <c r="F8" s="98">
        <f>'CAPITAL STRUCTURE'!C23</f>
        <v>225</v>
      </c>
      <c r="G8" s="98">
        <f>F8</f>
        <v>225</v>
      </c>
      <c r="H8" s="98">
        <f t="shared" ref="H8" si="0">G8</f>
        <v>225</v>
      </c>
    </row>
    <row r="9" spans="1:8" x14ac:dyDescent="0.3">
      <c r="A9" s="198" t="s">
        <v>176</v>
      </c>
      <c r="F9" s="98">
        <f>'ANNUAL P&amp;L'!F42</f>
        <v>-30.245175747771349</v>
      </c>
      <c r="G9" s="98">
        <f>F9+'ANNUAL P&amp;L'!G42</f>
        <v>-19.592135848600893</v>
      </c>
      <c r="H9" s="98">
        <f>G9+'ANNUAL P&amp;L'!H42</f>
        <v>58.712658928906777</v>
      </c>
    </row>
    <row r="11" spans="1:8" s="109" customFormat="1" x14ac:dyDescent="0.3">
      <c r="A11" s="107" t="s">
        <v>177</v>
      </c>
      <c r="B11" s="107"/>
      <c r="C11" s="107"/>
      <c r="D11" s="107"/>
      <c r="E11" s="107"/>
      <c r="F11" s="109">
        <f>SUM(F8:F10)</f>
        <v>194.75482425222864</v>
      </c>
      <c r="G11" s="109">
        <f t="shared" ref="G11:H11" si="1">SUM(G8:G10)</f>
        <v>205.40786415139911</v>
      </c>
      <c r="H11" s="109">
        <f t="shared" si="1"/>
        <v>283.71265892890676</v>
      </c>
    </row>
    <row r="13" spans="1:8" x14ac:dyDescent="0.3">
      <c r="A13" s="93" t="s">
        <v>146</v>
      </c>
    </row>
    <row r="14" spans="1:8" x14ac:dyDescent="0.3">
      <c r="A14" t="str">
        <f>'WORKING CAPITAL'!A15</f>
        <v>CREDITOR FOR EXPENSES</v>
      </c>
      <c r="F14" s="98">
        <f>'WORKING CAPITAL'!F15</f>
        <v>10.478810855020688</v>
      </c>
      <c r="G14" s="98">
        <f>'WORKING CAPITAL'!G15</f>
        <v>13.385956241038555</v>
      </c>
      <c r="H14" s="98">
        <f>'WORKING CAPITAL'!H15</f>
        <v>16.840128648939743</v>
      </c>
    </row>
    <row r="15" spans="1:8" x14ac:dyDescent="0.3">
      <c r="A15" s="87" t="str">
        <f>'WORKING CAPITAL'!A16</f>
        <v>CREDITOR FOR RAW MATERIAL</v>
      </c>
    </row>
    <row r="16" spans="1:8" x14ac:dyDescent="0.3">
      <c r="A16" t="str">
        <f>'WORKING CAPITAL'!A17</f>
        <v xml:space="preserve">   ALCOHOLIC BEVERAGES</v>
      </c>
      <c r="F16" s="98">
        <f>'WORKING CAPITAL'!F17</f>
        <v>2.7922225506679901</v>
      </c>
      <c r="G16" s="98">
        <f>'WORKING CAPITAL'!G17</f>
        <v>4.1534533029475886</v>
      </c>
      <c r="H16" s="98">
        <f>'WORKING CAPITAL'!H17</f>
        <v>5.7836824648853318</v>
      </c>
    </row>
    <row r="17" spans="1:8" x14ac:dyDescent="0.3">
      <c r="A17" t="str">
        <f>'WORKING CAPITAL'!A18</f>
        <v xml:space="preserve">   NON ALCOHOLIC BEVERAGES</v>
      </c>
      <c r="F17" s="98">
        <f>'WORKING CAPITAL'!F18</f>
        <v>1.5478789621650213</v>
      </c>
      <c r="G17" s="98">
        <f>'WORKING CAPITAL'!G18</f>
        <v>2.2555872373491046</v>
      </c>
      <c r="H17" s="98">
        <f>'WORKING CAPITAL'!H18</f>
        <v>3.1168503607627223</v>
      </c>
    </row>
    <row r="18" spans="1:8" x14ac:dyDescent="0.3">
      <c r="A18" t="str">
        <f>'WORKING CAPITAL'!A19</f>
        <v xml:space="preserve">   FOOD</v>
      </c>
      <c r="F18" s="98">
        <f>'WORKING CAPITAL'!F19</f>
        <v>5.5582036790458789</v>
      </c>
      <c r="G18" s="98">
        <f>'WORKING CAPITAL'!G19</f>
        <v>8.0443298660258247</v>
      </c>
      <c r="H18" s="98">
        <f>'WORKING CAPITAL'!H19</f>
        <v>11.092838852860208</v>
      </c>
    </row>
    <row r="19" spans="1:8" s="109" customFormat="1" x14ac:dyDescent="0.3">
      <c r="A19" s="107" t="s">
        <v>178</v>
      </c>
      <c r="B19" s="107"/>
      <c r="C19" s="107"/>
      <c r="D19" s="107"/>
      <c r="E19" s="107"/>
      <c r="F19" s="109">
        <f>'WORKING CAPITAL'!F20</f>
        <v>20.377116046899577</v>
      </c>
      <c r="G19" s="109">
        <f>'WORKING CAPITAL'!G20</f>
        <v>27.839326647361069</v>
      </c>
      <c r="H19" s="109">
        <f>'WORKING CAPITAL'!H20</f>
        <v>36.833500327448007</v>
      </c>
    </row>
    <row r="21" spans="1:8" s="123" customFormat="1" ht="15" thickBot="1" x14ac:dyDescent="0.35">
      <c r="A21" s="122" t="s">
        <v>179</v>
      </c>
      <c r="B21" s="122"/>
      <c r="C21" s="122"/>
      <c r="D21" s="122"/>
      <c r="E21" s="122"/>
      <c r="F21" s="123">
        <f>F11+F19</f>
        <v>215.13194029912822</v>
      </c>
      <c r="G21" s="123">
        <f t="shared" ref="G21:H21" si="2">G11+G19</f>
        <v>233.24719079876019</v>
      </c>
      <c r="H21" s="123">
        <f t="shared" si="2"/>
        <v>320.54615925635477</v>
      </c>
    </row>
    <row r="22" spans="1:8" ht="15" thickTop="1" x14ac:dyDescent="0.3"/>
    <row r="24" spans="1:8" x14ac:dyDescent="0.3">
      <c r="A24" s="197" t="s">
        <v>180</v>
      </c>
    </row>
    <row r="25" spans="1:8" x14ac:dyDescent="0.3">
      <c r="A25" s="199" t="s">
        <v>130</v>
      </c>
    </row>
    <row r="26" spans="1:8" x14ac:dyDescent="0.3">
      <c r="A26" s="198" t="str">
        <f>'FIXED ASSET SCHEDULE'!A8</f>
        <v>Kitchen Equipments and cutlery</v>
      </c>
      <c r="F26" s="98">
        <f>'FIXED ASSET SCHEDULE'!F13</f>
        <v>26.634246575342466</v>
      </c>
      <c r="G26" s="98">
        <f>'FIXED ASSET SCHEDULE'!G13</f>
        <v>22.639109589041094</v>
      </c>
      <c r="H26" s="98">
        <f>'FIXED ASSET SCHEDULE'!H13</f>
        <v>19.243243150684933</v>
      </c>
    </row>
    <row r="27" spans="1:8" x14ac:dyDescent="0.3">
      <c r="A27" s="198" t="str">
        <f>'FIXED ASSET SCHEDULE'!A16</f>
        <v>Refrigeration Equipments</v>
      </c>
      <c r="F27" s="98">
        <f>'FIXED ASSET SCHEDULE'!F21</f>
        <v>44.390410958904113</v>
      </c>
      <c r="G27" s="98">
        <f>'FIXED ASSET SCHEDULE'!G21</f>
        <v>37.731849315068494</v>
      </c>
      <c r="H27" s="98">
        <f>'FIXED ASSET SCHEDULE'!H21</f>
        <v>32.072071917808223</v>
      </c>
    </row>
    <row r="28" spans="1:8" x14ac:dyDescent="0.3">
      <c r="A28" s="198" t="str">
        <f>'FIXED ASSET SCHEDULE'!A24</f>
        <v>Furniture &amp; Fixtures</v>
      </c>
      <c r="F28" s="98">
        <f>'FIXED ASSET SCHEDULE'!F29</f>
        <v>47.185479452054793</v>
      </c>
      <c r="G28" s="98">
        <f>'FIXED ASSET SCHEDULE'!G29</f>
        <v>42.466931506849313</v>
      </c>
      <c r="H28" s="98">
        <f>'FIXED ASSET SCHEDULE'!H29</f>
        <v>38.22023835616438</v>
      </c>
    </row>
    <row r="29" spans="1:8" x14ac:dyDescent="0.3">
      <c r="A29" s="198" t="str">
        <f>'FIXED ASSET SCHEDULE'!A32</f>
        <v>Restaurants Décor</v>
      </c>
      <c r="F29" s="98">
        <f>'FIXED ASSET SCHEDULE'!F37</f>
        <v>55.512328767123286</v>
      </c>
      <c r="G29" s="98">
        <f>'FIXED ASSET SCHEDULE'!G37</f>
        <v>49.961095890410959</v>
      </c>
      <c r="H29" s="98">
        <f>'FIXED ASSET SCHEDULE'!H37</f>
        <v>44.964986301369862</v>
      </c>
    </row>
    <row r="31" spans="1:8" x14ac:dyDescent="0.3">
      <c r="A31" t="s">
        <v>181</v>
      </c>
      <c r="F31" s="98">
        <f>'CAPITAL STRUCTURE'!C16</f>
        <v>10</v>
      </c>
      <c r="G31" s="98">
        <f>F31</f>
        <v>10</v>
      </c>
      <c r="H31" s="98">
        <f t="shared" ref="H31" si="3">G31</f>
        <v>10</v>
      </c>
    </row>
    <row r="33" spans="1:8" x14ac:dyDescent="0.3">
      <c r="A33" s="93" t="s">
        <v>144</v>
      </c>
    </row>
    <row r="34" spans="1:8" x14ac:dyDescent="0.3">
      <c r="A34" s="87" t="s">
        <v>145</v>
      </c>
    </row>
    <row r="35" spans="1:8" x14ac:dyDescent="0.3">
      <c r="A35" s="200" t="str">
        <f>'WORKING CAPITAL'!A9</f>
        <v>Alcoholic Beverages</v>
      </c>
      <c r="F35" s="98">
        <f>'WORKING CAPITAL'!F9</f>
        <v>2.7922225506679901</v>
      </c>
      <c r="G35" s="98">
        <f>'WORKING CAPITAL'!G9</f>
        <v>4.1534533029475886</v>
      </c>
      <c r="H35" s="98">
        <f>'WORKING CAPITAL'!H9</f>
        <v>5.7836824648853318</v>
      </c>
    </row>
    <row r="36" spans="1:8" x14ac:dyDescent="0.3">
      <c r="A36" s="200" t="str">
        <f>'WORKING CAPITAL'!A10</f>
        <v>Non-Alcoholic Beverages</v>
      </c>
      <c r="F36" s="98">
        <f>'WORKING CAPITAL'!F10</f>
        <v>0.77393948108251065</v>
      </c>
      <c r="G36" s="98">
        <f>'WORKING CAPITAL'!G10</f>
        <v>1.1277936186745523</v>
      </c>
      <c r="H36" s="98">
        <f>'WORKING CAPITAL'!H10</f>
        <v>1.5584251803813611</v>
      </c>
    </row>
    <row r="37" spans="1:8" x14ac:dyDescent="0.3">
      <c r="A37" s="200" t="str">
        <f>'WORKING CAPITAL'!A11</f>
        <v>Food</v>
      </c>
      <c r="F37" s="98">
        <f>'WORKING CAPITAL'!F11</f>
        <v>0.92636727984097988</v>
      </c>
      <c r="G37" s="98">
        <f>'WORKING CAPITAL'!G11</f>
        <v>1.3407216443376373</v>
      </c>
      <c r="H37" s="98">
        <f>'WORKING CAPITAL'!H11</f>
        <v>1.8488064754767013</v>
      </c>
    </row>
    <row r="38" spans="1:8" s="109" customFormat="1" x14ac:dyDescent="0.3">
      <c r="A38" s="107" t="s">
        <v>114</v>
      </c>
      <c r="B38" s="107"/>
      <c r="C38" s="107"/>
      <c r="D38" s="107"/>
      <c r="E38" s="107"/>
      <c r="F38" s="109">
        <f>'WORKING CAPITAL'!F12</f>
        <v>4.4925293115914808</v>
      </c>
      <c r="G38" s="109">
        <f>'WORKING CAPITAL'!G12</f>
        <v>6.6219685659597776</v>
      </c>
      <c r="H38" s="109">
        <f>'WORKING CAPITAL'!H12</f>
        <v>9.1909141207433933</v>
      </c>
    </row>
    <row r="39" spans="1:8" x14ac:dyDescent="0.3">
      <c r="A39" t="s">
        <v>182</v>
      </c>
      <c r="F39" s="98">
        <f>'CASHFLOW STATEMENT'!F26</f>
        <v>26.916945234112092</v>
      </c>
      <c r="G39" s="98">
        <f>'CASHFLOW STATEMENT'!G26</f>
        <v>63.826235931430539</v>
      </c>
      <c r="H39" s="98">
        <f>'CASHFLOW STATEMENT'!H26</f>
        <v>166.854705409584</v>
      </c>
    </row>
    <row r="41" spans="1:8" s="123" customFormat="1" ht="15" thickBot="1" x14ac:dyDescent="0.35">
      <c r="A41" s="122" t="s">
        <v>183</v>
      </c>
      <c r="B41" s="122"/>
      <c r="C41" s="122"/>
      <c r="D41" s="122"/>
      <c r="E41" s="122"/>
      <c r="F41" s="123">
        <f>SUM(F26:F29,F31,F38,F39)</f>
        <v>215.13194029912825</v>
      </c>
      <c r="G41" s="123">
        <f t="shared" ref="G41:H41" si="4">SUM(G26:G29,G31,G38,G39)</f>
        <v>233.24719079876016</v>
      </c>
      <c r="H41" s="123">
        <f t="shared" si="4"/>
        <v>320.54615925635483</v>
      </c>
    </row>
    <row r="42" spans="1:8" ht="15" thickTop="1" x14ac:dyDescent="0.3"/>
    <row r="43" spans="1:8" x14ac:dyDescent="0.3">
      <c r="A43" t="s">
        <v>184</v>
      </c>
      <c r="F43" s="98">
        <f>F21-F41</f>
        <v>0</v>
      </c>
      <c r="G43" s="98">
        <f t="shared" ref="G43:H43" si="5">G21-G41</f>
        <v>0</v>
      </c>
      <c r="H43" s="98">
        <f t="shared" si="5"/>
        <v>0</v>
      </c>
    </row>
    <row r="45" spans="1:8" s="191" customFormat="1" x14ac:dyDescent="0.3">
      <c r="A45" s="141" t="s">
        <v>118</v>
      </c>
      <c r="B45" s="140"/>
      <c r="C45" s="140"/>
      <c r="D45" s="140"/>
      <c r="E45" s="14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597A-CC5C-4B1A-A660-10D410BAA952}">
  <dimension ref="A1:H28"/>
  <sheetViews>
    <sheetView workbookViewId="0">
      <selection activeCell="D31" sqref="D31"/>
    </sheetView>
  </sheetViews>
  <sheetFormatPr defaultRowHeight="14.4" x14ac:dyDescent="0.3"/>
  <cols>
    <col min="1" max="1" width="30.6640625" customWidth="1"/>
    <col min="6" max="7" width="12.77734375" style="98" bestFit="1" customWidth="1"/>
    <col min="8" max="8" width="15.77734375" style="98" customWidth="1"/>
    <col min="9" max="16384" width="8.88671875" style="98"/>
  </cols>
  <sheetData>
    <row r="1" spans="1:8" customFormat="1" x14ac:dyDescent="0.3">
      <c r="A1" s="93" t="s">
        <v>105</v>
      </c>
      <c r="B1" s="101" t="str">
        <f>CONVERTER!C1</f>
        <v>LAKHS</v>
      </c>
    </row>
    <row r="2" spans="1:8" customFormat="1" x14ac:dyDescent="0.3"/>
    <row r="3" spans="1:8" customFormat="1" x14ac:dyDescent="0.3"/>
    <row r="4" spans="1:8" customFormat="1" x14ac:dyDescent="0.3"/>
    <row r="5" spans="1:8" customFormat="1" x14ac:dyDescent="0.3">
      <c r="F5" s="102">
        <v>1</v>
      </c>
      <c r="G5" s="102">
        <f>F5+1</f>
        <v>2</v>
      </c>
      <c r="H5" s="102">
        <f>G5+1</f>
        <v>3</v>
      </c>
    </row>
    <row r="6" spans="1:8" customFormat="1" x14ac:dyDescent="0.3">
      <c r="F6" s="96">
        <f>EOMONTH(ASSUMPTION!G3,11)</f>
        <v>44286</v>
      </c>
      <c r="G6" s="96">
        <f>EOMONTH(F6,12)</f>
        <v>44651</v>
      </c>
      <c r="H6" s="96">
        <f>EOMONTH(G6,12)</f>
        <v>45016</v>
      </c>
    </row>
    <row r="7" spans="1:8" s="195" customFormat="1" x14ac:dyDescent="0.3">
      <c r="A7" s="93" t="s">
        <v>160</v>
      </c>
      <c r="B7" s="93"/>
      <c r="C7" s="93"/>
      <c r="D7" s="93"/>
      <c r="E7" s="93"/>
    </row>
    <row r="8" spans="1:8" x14ac:dyDescent="0.3">
      <c r="A8" t="s">
        <v>158</v>
      </c>
      <c r="F8" s="98">
        <f>'ANNUAL P&amp;L'!F42</f>
        <v>-30.245175747771349</v>
      </c>
      <c r="G8" s="98">
        <f>'ANNUAL P&amp;L'!G42</f>
        <v>10.653039899170455</v>
      </c>
      <c r="H8" s="98">
        <f>'ANNUAL P&amp;L'!H42</f>
        <v>78.304794777507666</v>
      </c>
    </row>
    <row r="9" spans="1:8" x14ac:dyDescent="0.3">
      <c r="A9" t="s">
        <v>161</v>
      </c>
      <c r="F9" s="98">
        <f>'ANNUAL P&amp;L'!F34</f>
        <v>17.277534246575343</v>
      </c>
      <c r="G9" s="98">
        <f>'ANNUAL P&amp;L'!G34</f>
        <v>20.923479452054796</v>
      </c>
      <c r="H9" s="98">
        <f>'ANNUAL P&amp;L'!H34</f>
        <v>18.298446575342464</v>
      </c>
    </row>
    <row r="10" spans="1:8" s="188" customFormat="1" ht="35.4" customHeight="1" x14ac:dyDescent="0.3">
      <c r="A10" s="196" t="s">
        <v>162</v>
      </c>
      <c r="B10" s="87"/>
      <c r="C10" s="87"/>
      <c r="D10" s="87"/>
      <c r="E10" s="87"/>
      <c r="F10" s="188">
        <f>F8+F9</f>
        <v>-12.967641501196006</v>
      </c>
      <c r="G10" s="188">
        <f t="shared" ref="G10:H10" si="0">G8+G9</f>
        <v>31.576519351225251</v>
      </c>
      <c r="H10" s="188">
        <f t="shared" si="0"/>
        <v>96.603241352850134</v>
      </c>
    </row>
    <row r="11" spans="1:8" x14ac:dyDescent="0.3">
      <c r="A11" s="194" t="s">
        <v>163</v>
      </c>
      <c r="F11" s="98">
        <f>'WORKING CAPITAL'!F23</f>
        <v>15.884586735308096</v>
      </c>
      <c r="G11" s="98">
        <f>'WORKING CAPITAL'!G23</f>
        <v>5.3327713460931978</v>
      </c>
      <c r="H11" s="98">
        <f>'WORKING CAPITAL'!H23</f>
        <v>6.4252281253033203</v>
      </c>
    </row>
    <row r="13" spans="1:8" s="109" customFormat="1" x14ac:dyDescent="0.3">
      <c r="A13" s="107" t="s">
        <v>164</v>
      </c>
      <c r="B13" s="107"/>
      <c r="C13" s="107"/>
      <c r="D13" s="107"/>
      <c r="E13" s="107"/>
      <c r="F13" s="109">
        <f>F10+F11</f>
        <v>2.9169452341120898</v>
      </c>
      <c r="G13" s="109">
        <f t="shared" ref="G13:H13" si="1">G10+G11</f>
        <v>36.909290697318447</v>
      </c>
      <c r="H13" s="109">
        <f t="shared" si="1"/>
        <v>103.02846947815345</v>
      </c>
    </row>
    <row r="15" spans="1:8" s="195" customFormat="1" x14ac:dyDescent="0.3">
      <c r="A15" s="93" t="s">
        <v>165</v>
      </c>
      <c r="B15" s="93"/>
      <c r="C15" s="93"/>
      <c r="D15" s="93"/>
      <c r="E15" s="93"/>
    </row>
    <row r="16" spans="1:8" x14ac:dyDescent="0.3">
      <c r="A16" t="s">
        <v>166</v>
      </c>
      <c r="F16" s="98">
        <f>-'CAPITAL STRUCTURE'!C14</f>
        <v>-191</v>
      </c>
      <c r="G16" s="98">
        <v>0</v>
      </c>
      <c r="H16" s="98">
        <v>0</v>
      </c>
    </row>
    <row r="17" spans="1:8" x14ac:dyDescent="0.3">
      <c r="A17" t="s">
        <v>167</v>
      </c>
      <c r="F17" s="98">
        <f>-'CAPITAL STRUCTURE'!C16</f>
        <v>-10</v>
      </c>
      <c r="G17" s="98">
        <v>0</v>
      </c>
      <c r="H17" s="98">
        <v>0</v>
      </c>
    </row>
    <row r="18" spans="1:8" s="109" customFormat="1" x14ac:dyDescent="0.3">
      <c r="A18" s="107" t="s">
        <v>168</v>
      </c>
      <c r="B18" s="107"/>
      <c r="C18" s="107"/>
      <c r="D18" s="107"/>
      <c r="E18" s="107"/>
      <c r="F18" s="109">
        <f>F16+F17</f>
        <v>-201</v>
      </c>
      <c r="G18" s="109">
        <f t="shared" ref="G18:H18" si="2">G16+G17</f>
        <v>0</v>
      </c>
      <c r="H18" s="109">
        <f t="shared" si="2"/>
        <v>0</v>
      </c>
    </row>
    <row r="20" spans="1:8" x14ac:dyDescent="0.3">
      <c r="A20" s="93" t="s">
        <v>169</v>
      </c>
    </row>
    <row r="21" spans="1:8" x14ac:dyDescent="0.3">
      <c r="A21" t="s">
        <v>170</v>
      </c>
      <c r="F21" s="98">
        <f>'CAPITAL STRUCTURE'!C23</f>
        <v>225</v>
      </c>
      <c r="G21" s="98">
        <v>0</v>
      </c>
      <c r="H21" s="98">
        <v>0</v>
      </c>
    </row>
    <row r="22" spans="1:8" s="109" customFormat="1" x14ac:dyDescent="0.3">
      <c r="A22" s="107" t="s">
        <v>171</v>
      </c>
      <c r="B22" s="107"/>
      <c r="C22" s="107"/>
      <c r="D22" s="107"/>
      <c r="E22" s="107"/>
      <c r="F22" s="109">
        <f>F21</f>
        <v>225</v>
      </c>
      <c r="G22" s="109">
        <f t="shared" ref="G22:H22" si="3">G21</f>
        <v>0</v>
      </c>
      <c r="H22" s="109">
        <f t="shared" si="3"/>
        <v>0</v>
      </c>
    </row>
    <row r="24" spans="1:8" x14ac:dyDescent="0.3">
      <c r="A24" t="s">
        <v>172</v>
      </c>
      <c r="F24" s="98">
        <f>F13+F18+F22</f>
        <v>26.916945234112092</v>
      </c>
      <c r="G24" s="98">
        <f t="shared" ref="G24:H24" si="4">G13+G18+G22</f>
        <v>36.909290697318447</v>
      </c>
      <c r="H24" s="98">
        <f t="shared" si="4"/>
        <v>103.02846947815345</v>
      </c>
    </row>
    <row r="25" spans="1:8" x14ac:dyDescent="0.3">
      <c r="A25" t="s">
        <v>173</v>
      </c>
      <c r="F25" s="98">
        <v>0</v>
      </c>
      <c r="G25" s="98">
        <f>F26</f>
        <v>26.916945234112092</v>
      </c>
      <c r="H25" s="98">
        <f>G26</f>
        <v>63.826235931430539</v>
      </c>
    </row>
    <row r="26" spans="1:8" s="123" customFormat="1" ht="15" thickBot="1" x14ac:dyDescent="0.35">
      <c r="A26" s="122" t="s">
        <v>143</v>
      </c>
      <c r="B26" s="122"/>
      <c r="C26" s="122"/>
      <c r="D26" s="122"/>
      <c r="E26" s="122"/>
      <c r="F26" s="123">
        <f>F24+F25</f>
        <v>26.916945234112092</v>
      </c>
      <c r="G26" s="123">
        <f t="shared" ref="G26:H26" si="5">G24+G25</f>
        <v>63.826235931430539</v>
      </c>
      <c r="H26" s="123">
        <f t="shared" si="5"/>
        <v>166.854705409584</v>
      </c>
    </row>
    <row r="27" spans="1:8" ht="15" thickTop="1" x14ac:dyDescent="0.3"/>
    <row r="28" spans="1:8" s="191" customFormat="1" x14ac:dyDescent="0.3">
      <c r="A28" s="141" t="s">
        <v>118</v>
      </c>
      <c r="B28" s="140"/>
      <c r="C28" s="140"/>
      <c r="D28" s="140"/>
      <c r="E28" s="14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B774A5CA46AF41A9C711B9245E8308" ma:contentTypeVersion="1" ma:contentTypeDescription="Create a new document." ma:contentTypeScope="" ma:versionID="7d65148790f9f11f1988fb672b0ed6ea">
  <xsd:schema xmlns:xsd="http://www.w3.org/2001/XMLSchema" xmlns:xs="http://www.w3.org/2001/XMLSchema" xmlns:p="http://schemas.microsoft.com/office/2006/metadata/properties" xmlns:ns3="c94412b7-5b95-4353-8f94-0bcfe58afaaf" targetNamespace="http://schemas.microsoft.com/office/2006/metadata/properties" ma:root="true" ma:fieldsID="fc2c914cd1ace7a9ded0a59f3694a1d3" ns3:_="">
    <xsd:import namespace="c94412b7-5b95-4353-8f94-0bcfe58afa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12b7-5b95-4353-8f94-0bcfe58afa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5AFF64-B563-4766-947A-34F69AF0E9A6}">
  <ds:schemaRefs>
    <ds:schemaRef ds:uri="http://purl.org/dc/elements/1.1/"/>
    <ds:schemaRef ds:uri="http://www.w3.org/XML/1998/namespace"/>
    <ds:schemaRef ds:uri="http://purl.org/dc/terms/"/>
    <ds:schemaRef ds:uri="http://purl.org/dc/dcmitype/"/>
    <ds:schemaRef ds:uri="c94412b7-5b95-4353-8f94-0bcfe58afaaf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B183586-E51B-483C-BCA8-DE803C23D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12b7-5b95-4353-8f94-0bcfe58afa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23B4A4-0C24-4F3E-83A7-1709E04660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ASSUMPTION</vt:lpstr>
      <vt:lpstr>CONVERTER</vt:lpstr>
      <vt:lpstr>MONTHLY REVENUE</vt:lpstr>
      <vt:lpstr>MONTHLY P&amp;L</vt:lpstr>
      <vt:lpstr>CAPITAL STRUCTURE</vt:lpstr>
      <vt:lpstr>FIXED ASSET SCHEDULE</vt:lpstr>
      <vt:lpstr>WORKING CAPITAL</vt:lpstr>
      <vt:lpstr>ANNUAL P&amp;L</vt:lpstr>
      <vt:lpstr>BALANCE SHEET</vt:lpstr>
      <vt:lpstr>CASHFLOW STATEMENT</vt:lpstr>
      <vt:lpstr>DEN</vt:lpstr>
      <vt:lpstr>CONVERTER!Print_Area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124BT0025 (GOPAL AGARWAL)</dc:creator>
  <cp:lastModifiedBy>124BT0025 (GOPAL AGARWAL)</cp:lastModifiedBy>
  <cp:lastPrinted>2025-06-10T13:32:10Z</cp:lastPrinted>
  <dcterms:created xsi:type="dcterms:W3CDTF">2025-06-01T10:42:25Z</dcterms:created>
  <dcterms:modified xsi:type="dcterms:W3CDTF">2025-06-10T13:32:28Z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0x010100BBB774A5CA46AF41A9C711B9245E8308</vt:lpwstr>
  </property>
</Properties>
</file>